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&amp;C" sheetId="1" r:id="rId4"/>
    <sheet state="visible" name="INDEX" sheetId="2" r:id="rId5"/>
    <sheet state="visible" name="Books, etc" sheetId="3" r:id="rId6"/>
    <sheet state="visible" name="Accessories, etc" sheetId="4" r:id="rId7"/>
    <sheet state="visible" name="Files, etc" sheetId="5" r:id="rId8"/>
    <sheet state="visible" name="Educational Aids" sheetId="6" r:id="rId9"/>
    <sheet state="visible" name="Envelopes" sheetId="7" r:id="rId10"/>
    <sheet state="visible" name="Paper" sheetId="8" r:id="rId11"/>
  </sheets>
  <definedNames/>
  <calcPr/>
</workbook>
</file>

<file path=xl/sharedStrings.xml><?xml version="1.0" encoding="utf-8"?>
<sst xmlns="http://schemas.openxmlformats.org/spreadsheetml/2006/main" count="2015" uniqueCount="1731">
  <si>
    <t>PRICE LIST EFFECTIVE 01 SEPTEMBER 2024</t>
  </si>
  <si>
    <t>Branch Contact Details</t>
  </si>
  <si>
    <t>Head Office</t>
  </si>
  <si>
    <t>Midrand</t>
  </si>
  <si>
    <t>Cape Town</t>
  </si>
  <si>
    <t>Head Office:</t>
  </si>
  <si>
    <t>careline@freedomstationery.co.za</t>
  </si>
  <si>
    <t>Tel: 031 003 7390</t>
  </si>
  <si>
    <t>Tel: 087 353 7860</t>
  </si>
  <si>
    <t>Tel: 087 350 7863</t>
  </si>
  <si>
    <t>Durban:</t>
  </si>
  <si>
    <t>sales@freedomstationery.co.za</t>
  </si>
  <si>
    <t>Midrand:</t>
  </si>
  <si>
    <t>gpsales@freedomstationery.co.za</t>
  </si>
  <si>
    <t>Durban</t>
  </si>
  <si>
    <t>East London</t>
  </si>
  <si>
    <t>Cape Town:</t>
  </si>
  <si>
    <t>cptsales@freedomstationery.co.za</t>
  </si>
  <si>
    <t>Tel: 087 350 7861</t>
  </si>
  <si>
    <t>Tel: 087 350 7862</t>
  </si>
  <si>
    <t>East London:</t>
  </si>
  <si>
    <t>elsales@freedomstationery.co.za</t>
  </si>
  <si>
    <t>Terms and Conditions</t>
  </si>
  <si>
    <t xml:space="preserve">If you are an individual or a company, CC, partnership, trust or other association of persons which has a gross annual turnover or gross asset </t>
  </si>
  <si>
    <t xml:space="preserve">value below R2 million, you have the rights set out in the Consumer Protection Act, 2008 and the following provisions of these Standard </t>
  </si>
  <si>
    <t>Trading Terms and Conditions may not apply to you:</t>
  </si>
  <si>
    <r>
      <rPr>
        <rFont val="Play"/>
        <b/>
        <color theme="1"/>
        <sz val="11.0"/>
      </rPr>
      <t xml:space="preserve"> - Clause 9</t>
    </r>
    <r>
      <rPr>
        <rFont val="Aptos Display"/>
        <b val="0"/>
        <color theme="1"/>
        <sz val="11.0"/>
      </rPr>
      <t>, to the extent that it provides that the goods need not be delivered to you within a reasonable time;</t>
    </r>
  </si>
  <si>
    <t xml:space="preserve"> - Clause 10, to the extent that we have not disclosed the exact nature of any defects in the goods to you and you have not accepted </t>
  </si>
  <si>
    <t xml:space="preserve"> the goods in such condition;</t>
  </si>
  <si>
    <r>
      <rPr>
        <rFont val="Play"/>
        <b/>
        <color theme="1"/>
        <sz val="11.0"/>
      </rPr>
      <t xml:space="preserve"> - Clause 10</t>
    </r>
    <r>
      <rPr>
        <rFont val="Aptos Display"/>
        <b val="0"/>
        <color theme="1"/>
        <sz val="11.0"/>
      </rPr>
      <t>, to the extent that it provides that you will not have any claim against us for any defect in, the goods delivered to you;</t>
    </r>
  </si>
  <si>
    <r>
      <rPr>
        <rFont val="Play"/>
        <b/>
        <color theme="1"/>
        <sz val="11.0"/>
      </rPr>
      <t xml:space="preserve"> - Clause 11</t>
    </r>
    <r>
      <rPr>
        <rFont val="Aptos Display"/>
        <b val="0"/>
        <color theme="1"/>
        <sz val="11.0"/>
      </rPr>
      <t>, to the extent that you are not permitted to return defective goods to us unless we agree that they are defective;</t>
    </r>
  </si>
  <si>
    <r>
      <rPr>
        <rFont val="Play"/>
        <b/>
        <color theme="1"/>
        <sz val="11.0"/>
      </rPr>
      <t xml:space="preserve"> - Clause 14</t>
    </r>
    <r>
      <rPr>
        <rFont val="Aptos Display"/>
        <b val="0"/>
        <color theme="1"/>
        <sz val="11.0"/>
      </rPr>
      <t>, to the extent that it prevents you from choosing whether you require a refund or replacement of the defective goods;</t>
    </r>
  </si>
  <si>
    <r>
      <rPr>
        <rFont val="Play"/>
        <b/>
        <color theme="1"/>
        <sz val="11.0"/>
      </rPr>
      <t xml:space="preserve"> - Clause 17</t>
    </r>
    <r>
      <rPr>
        <rFont val="Aptos Display"/>
        <b val="0"/>
        <color theme="1"/>
        <sz val="11.0"/>
      </rPr>
      <t>, in it's entirety;</t>
    </r>
  </si>
  <si>
    <r>
      <rPr>
        <rFont val="Play"/>
        <b/>
        <color theme="1"/>
        <sz val="11.0"/>
      </rPr>
      <t xml:space="preserve"> - Clause 18</t>
    </r>
    <r>
      <rPr>
        <rFont val="Aptos Display"/>
        <b val="0"/>
        <color theme="1"/>
        <sz val="11.0"/>
      </rPr>
      <t>, to the extent that it provides that we are not liable for any loss which you suffer as a result of the goods which we supply to you.</t>
    </r>
  </si>
  <si>
    <r>
      <rPr>
        <rFont val="Play"/>
        <color theme="1"/>
        <sz val="11.0"/>
      </rPr>
      <t>1.  All goods which you buy from Freedom Stationery Pty Ltd ("</t>
    </r>
    <r>
      <rPr>
        <rFont val="Aptos Display"/>
        <color theme="1"/>
        <sz val="11.0"/>
        <u/>
      </rPr>
      <t>we</t>
    </r>
    <r>
      <rPr>
        <rFont val="Aptos Display"/>
        <color theme="1"/>
        <sz val="11.0"/>
      </rPr>
      <t>" or "</t>
    </r>
    <r>
      <rPr>
        <rFont val="Aptos Display"/>
        <color theme="1"/>
        <sz val="11.0"/>
        <u/>
      </rPr>
      <t>us</t>
    </r>
    <r>
      <rPr>
        <rFont val="Aptos Display"/>
        <color theme="1"/>
        <sz val="11.0"/>
      </rPr>
      <t xml:space="preserve">") are sold to you on our standard terms and conditions of sale </t>
    </r>
  </si>
  <si>
    <r>
      <rPr>
        <rFont val="Play"/>
        <color theme="1"/>
        <sz val="11.0"/>
      </rPr>
      <t>("</t>
    </r>
    <r>
      <rPr>
        <rFont val="Aptos Display"/>
        <color theme="1"/>
        <sz val="11.0"/>
        <u/>
      </rPr>
      <t>STC's</t>
    </r>
    <r>
      <rPr>
        <rFont val="Aptos Display"/>
        <color theme="1"/>
        <sz val="11.0"/>
      </rPr>
      <t xml:space="preserve">").  By ordering goods from us, you are deemed to have accepted, and agreed to be bound by, these STC's. A full copy of our STC's are </t>
    </r>
  </si>
  <si>
    <t>available on request or on our website: www.freedomstationery.co.za</t>
  </si>
  <si>
    <t xml:space="preserve">2. All prices are exclusive of VAT. Please note: These prices are subject to change without prior notice. All items are supplied to the nearest </t>
  </si>
  <si>
    <t>pack size above your order quantity.</t>
  </si>
  <si>
    <t>3. For Cash In Advance transactions, all payments must reflect on our bank statement before your order will be confirmed for delivery/collection.</t>
  </si>
  <si>
    <t>4. Third party delivery charges may apply.</t>
  </si>
  <si>
    <t>5. We will advise you when your goods are ready for collection.  Delivery of the goods takes place:</t>
  </si>
  <si>
    <t xml:space="preserve">   5.1  if you have requested us to transport the goods to you, when we (or our agent) begin unloading the goods at the delivery address set out </t>
  </si>
  <si>
    <t xml:space="preserve">   in your order or credit application; or</t>
  </si>
  <si>
    <t xml:space="preserve">   5.2  if you (or your agent) collect the goods from our premises, when you (or your agent) begin loading the goods at our premises. </t>
  </si>
  <si>
    <t>6. A delivery note shall constitute prima facie proof that the goods have been delivered to you.</t>
  </si>
  <si>
    <t>7. All risk in, and to, the goods will pass to you on delivery of the goods to you in accordance with these STC's.</t>
  </si>
  <si>
    <t xml:space="preserve">8. Ownership of all goods supplied to you remain with Freedom Stationery Pty Ltd until we receive, as freely available funds in our bank </t>
  </si>
  <si>
    <t xml:space="preserve">account, full payment for those goods, including any delivery or other applicable charges. Until such time that you become the owner of the </t>
  </si>
  <si>
    <t>goods, you must ensure that the goods are kept and maintained in good condition and are not the subject of any pledge or lien.</t>
  </si>
  <si>
    <t xml:space="preserve">9. Although we will try to deliver the goods to you by the delivery date which you request, we are not bound to do so.  Delivery of the goods is </t>
  </si>
  <si>
    <t>subject to the availability of the goods and the timeous receipt of any specifications which you provide relating to the description of the goods.</t>
  </si>
  <si>
    <t>Returns Policy</t>
  </si>
  <si>
    <t xml:space="preserve">The following clauses are not applicable to you if you are an individual or a company, CC, partnership, trust or other </t>
  </si>
  <si>
    <t xml:space="preserve">association which has a gross annual turnover or gross asset value below R2 Million in terms of the Consumer Protection Act 68 of 2008: </t>
  </si>
  <si>
    <t xml:space="preserve">10. You must inspect the goods which are delivered to you.  All goods which we sell to you are sold voetstoots and are deemed to be supplied </t>
  </si>
  <si>
    <t xml:space="preserve">in good condition and free of any defects. You will not have any claim against us for defect in the goods delivered to you unless you notify our </t>
  </si>
  <si>
    <t>regional sales department by email or fax of the defect within 3 days after the date when the goods were delivered to you.</t>
  </si>
  <si>
    <t xml:space="preserve">11. You may not return any goods which we supply to you and which you claim are defective unless we agree that those goods are defective </t>
  </si>
  <si>
    <t xml:space="preserve">and that they were defective at the time when they were delivered to you.  You must allow our representative reasonable access to your </t>
  </si>
  <si>
    <t xml:space="preserve">premises during business hours to inspect the goods which you claim are defective to enable us to verify your claim.  You may not withhold </t>
  </si>
  <si>
    <t>payment in respect of any goods which you claim are defective.</t>
  </si>
  <si>
    <t xml:space="preserve">12. If we agree that any of the goods which were supplied to you are defective, we will notify you in writing by either email of fax. The </t>
  </si>
  <si>
    <t xml:space="preserve">defective goods will be picked up by Freedom Stationery from the address to which it was delivered. The goods must be in their original </t>
  </si>
  <si>
    <t xml:space="preserve">packaging and condition. </t>
  </si>
  <si>
    <t>13. In respect of any returns, the customer must advise the invoice number wherein the goods returned appear on such invoice.</t>
  </si>
  <si>
    <t>14. If we agree that any goods are defective, we will either:</t>
  </si>
  <si>
    <t xml:space="preserve">   14.1  repair or replace those defective goods and deliver the repaired or replaced goods to you, at our cost, at the delivery address set out in </t>
  </si>
  <si>
    <t xml:space="preserve">  your order; or </t>
  </si>
  <si>
    <t xml:space="preserve">   14.2  refund you the amount which you paid for those defective goods.  </t>
  </si>
  <si>
    <t>15. We are not liable for any defects of any nature for any goods which you have cut, processed or treated in any way.</t>
  </si>
  <si>
    <t xml:space="preserve">16. Where goods are supplied to the customer’s order and subsequently returned on agreement with Freedom Stationery Pty Ltd, a handling </t>
  </si>
  <si>
    <t>charge of 10% may be raised by Freedom Stationery Pty Ltd.</t>
  </si>
  <si>
    <t xml:space="preserve">17. Except where we have specifically provided you with a written warranty in respect of the goods, we do not give any warranties in respect of </t>
  </si>
  <si>
    <t xml:space="preserve">the goods which we supply to you.  In particular, as you have selected and/or specified the goods, we do not warrant that the goods which you </t>
  </si>
  <si>
    <t xml:space="preserve">have selected and/or specified are suitable for the purpose for which you intend using them.  You indemnify us against any claims made by any </t>
  </si>
  <si>
    <t xml:space="preserve">third party arising out of, or in connection with, any goods which we supply to you, and/or the use of those goods.  </t>
  </si>
  <si>
    <t xml:space="preserve">18. We are not liable to you for any consequential, special or indirect damages which you may suffer in any way arising from, or in connection </t>
  </si>
  <si>
    <t xml:space="preserve">with, these STC's or the goods which we supply to you.  Any other claim which you may have against us arising in any way from, or in </t>
  </si>
  <si>
    <t>connection with, the goods supplied, is limited to the cost of replacing those goods or refunding you the price which you paid for them.   END</t>
  </si>
  <si>
    <t>SEPTEMBER  2024 INDEX</t>
  </si>
  <si>
    <t>THIS PRICE LIST CONSISTS OF:</t>
  </si>
  <si>
    <t>PAGE</t>
  </si>
  <si>
    <t>BOOKS</t>
  </si>
  <si>
    <t>3-4</t>
  </si>
  <si>
    <t xml:space="preserve">ACCESSORIES </t>
  </si>
  <si>
    <t>5-14</t>
  </si>
  <si>
    <t>FILES &amp; FILING ACCESSORIES</t>
  </si>
  <si>
    <t>15-17</t>
  </si>
  <si>
    <t>EDUCATIONAL AIDS</t>
  </si>
  <si>
    <t>ENVELOPES</t>
  </si>
  <si>
    <t>BOND PAPER</t>
  </si>
  <si>
    <t>CATEGORY</t>
  </si>
  <si>
    <t xml:space="preserve">PAGE </t>
  </si>
  <si>
    <t>ADHESIVES - NON-TOXIC</t>
  </si>
  <si>
    <t>COLOURING &amp; ACTIVITY BOOKS</t>
  </si>
  <si>
    <t>PAINT POWDER</t>
  </si>
  <si>
    <t xml:space="preserve">APRONS </t>
  </si>
  <si>
    <t>CONTINOUS PAPER</t>
  </si>
  <si>
    <t>PEN CARBON BOOKS A4 / A5 / A6</t>
  </si>
  <si>
    <t>ARTIST BRUSHES</t>
  </si>
  <si>
    <t>CORRECTION FLUID &amp; TAPE</t>
  </si>
  <si>
    <t xml:space="preserve">PENCIL BAGS </t>
  </si>
  <si>
    <t>ARTS &amp; CRAFT ACCESSORIES</t>
  </si>
  <si>
    <t>CRAYONS - RETRACTABLE</t>
  </si>
  <si>
    <t xml:space="preserve">PENCILS </t>
  </si>
  <si>
    <t>BOND PAPER A4 / A3</t>
  </si>
  <si>
    <t xml:space="preserve">CRAYONS - WAX </t>
  </si>
  <si>
    <t>PENCILS - CLUTCH &amp; LEAD</t>
  </si>
  <si>
    <t>BOOK - HARDCOVER / COUNTER A4</t>
  </si>
  <si>
    <t>CUBE REFILLS</t>
  </si>
  <si>
    <t>PENS - FINELINERS</t>
  </si>
  <si>
    <t>BOOK BAG / POUCH</t>
  </si>
  <si>
    <t>DICTIONARIES &amp; DIARIES</t>
  </si>
  <si>
    <t>PENS - GEL INK</t>
  </si>
  <si>
    <t>BOOK COVERS - COMBO PACKS</t>
  </si>
  <si>
    <t>DISPLAY BOOKS - FIREFLY LDPE</t>
  </si>
  <si>
    <t>PENS - RETRACTABLE</t>
  </si>
  <si>
    <t>BOOK COVERS - KRAFT ROLLS</t>
  </si>
  <si>
    <t>DISPLAY BOOKS - MARLIN PP</t>
  </si>
  <si>
    <t>PENS - ROLLER BALL</t>
  </si>
  <si>
    <t>BOOK COVERS - POLY ROLLS LD</t>
  </si>
  <si>
    <t>DOCUMENT FOLDERS / FILES</t>
  </si>
  <si>
    <t>PENS - STICK</t>
  </si>
  <si>
    <t>BOOK COVERS - POLY ROLLS PP</t>
  </si>
  <si>
    <t>PLAY DOUGH</t>
  </si>
  <si>
    <t xml:space="preserve">BOOK COVERS - PRECUTS </t>
  </si>
  <si>
    <t>ENVELOPES - BROWN &amp; WHITE</t>
  </si>
  <si>
    <t>PROJECT BOARD PADS A4 160g 25 SHEETS</t>
  </si>
  <si>
    <t xml:space="preserve">BOOK COVERS - PRECUTS SELF ADHESIVE </t>
  </si>
  <si>
    <t>ENVELOPES - MAIL LITE</t>
  </si>
  <si>
    <t>PROJECT BOARDS 160g A1</t>
  </si>
  <si>
    <t>BOOK COVERS - SELF ADHESIVE ROLL</t>
  </si>
  <si>
    <t>ERASERS</t>
  </si>
  <si>
    <t>PROJECT BOARDS 160g A2</t>
  </si>
  <si>
    <t>BOOK COVERS - SLIP ON POLY-PROP</t>
  </si>
  <si>
    <t>EXAMINATION PADS A4</t>
  </si>
  <si>
    <t>PROJECT BOARDS 160g A3</t>
  </si>
  <si>
    <t>BOOKS - ACCOUNTING A4</t>
  </si>
  <si>
    <t>EXPANDING FILES</t>
  </si>
  <si>
    <t>PROJECT BOARDS 160g A4 10 PACK</t>
  </si>
  <si>
    <t>BOOKS - ATTENDANCE REGISTERS</t>
  </si>
  <si>
    <t>FIBRE TIP PENS</t>
  </si>
  <si>
    <t xml:space="preserve">PROJECT BOARDS 160g A4 100 PACK </t>
  </si>
  <si>
    <t>BOOKS - DRAWING A3/A4</t>
  </si>
  <si>
    <t>FILE DIVIDERS / INDEXES - BRIGHTS</t>
  </si>
  <si>
    <t>PROJECT BOARDS 160g A4 50 PACK</t>
  </si>
  <si>
    <t>BOOKS - GRAPH A4</t>
  </si>
  <si>
    <t>FILE DIVIDERS / INDEXES - PASTELS</t>
  </si>
  <si>
    <t>PROJECT PAPER 80g A4</t>
  </si>
  <si>
    <t>BOOKS - HARDCOVERS BOOKS A5</t>
  </si>
  <si>
    <t>FILE DIVIDERS / INDEXES - POLYPROP</t>
  </si>
  <si>
    <t>PROJECT PAPER PADS A4 80g 50 SHEETS</t>
  </si>
  <si>
    <t>BOOKS - INDEX A4/A5/A6</t>
  </si>
  <si>
    <t>FILES - LEVER ARCH &amp; RINGBINDERS</t>
  </si>
  <si>
    <t>PUNCHES</t>
  </si>
  <si>
    <t>BOOKS - JOTTERS / SCRIBBLERS A4</t>
  </si>
  <si>
    <t>FILING POCKETS &amp; LAMINATING POUCHES</t>
  </si>
  <si>
    <t>RULED PAPER</t>
  </si>
  <si>
    <t>BOOKS - MEMO A6</t>
  </si>
  <si>
    <t>FLIP CHARTS</t>
  </si>
  <si>
    <t xml:space="preserve">RULERS </t>
  </si>
  <si>
    <t>BOOKS - NATURE STUDY A4</t>
  </si>
  <si>
    <t>FOLDERS - BOARD &amp; FILE FASTENERS</t>
  </si>
  <si>
    <t xml:space="preserve">SCISSORS </t>
  </si>
  <si>
    <t>BOOKS - SOFT COVER EXERCISE A4</t>
  </si>
  <si>
    <t>GIFT WRAP / BOOK COVER ROLLS</t>
  </si>
  <si>
    <t>SHARPENERS</t>
  </si>
  <si>
    <t>BOOKS - SOFT COVERS EXERCISE A5</t>
  </si>
  <si>
    <t>GLUE STICKS</t>
  </si>
  <si>
    <t xml:space="preserve">SKETCH PADS A3/A4  </t>
  </si>
  <si>
    <t>CALCULATORS</t>
  </si>
  <si>
    <t>GLUES</t>
  </si>
  <si>
    <t>SPIRAL NOTEBOOKS</t>
  </si>
  <si>
    <t>CHAIRBAGS</t>
  </si>
  <si>
    <t>HARDCOVER NOTEBOOK JOURNALS A5</t>
  </si>
  <si>
    <t>STAPLERS &amp; STAPLES</t>
  </si>
  <si>
    <t>CHALK (NON-TOXIC) &amp; BOARDS &amp; DUSTER</t>
  </si>
  <si>
    <t>HIGHLIGHTERS</t>
  </si>
  <si>
    <t>STATIONERY KITS</t>
  </si>
  <si>
    <t>CHALKBOARD INSTRUMENTS</t>
  </si>
  <si>
    <t>LABELS / NAME TAGS</t>
  </si>
  <si>
    <t>STENCILS</t>
  </si>
  <si>
    <t xml:space="preserve">CHARTS - EDUCATIONAL </t>
  </si>
  <si>
    <t>MARKERS - PERMANENT BULLET</t>
  </si>
  <si>
    <t>STICKERS / SELF ADHESIVE LABELS</t>
  </si>
  <si>
    <t>CLIPBOARDS</t>
  </si>
  <si>
    <t>MATHS SETS &amp; INSTRUMENTS</t>
  </si>
  <si>
    <t>STICKY NOTES</t>
  </si>
  <si>
    <t>CLIPS - FOLD BACK</t>
  </si>
  <si>
    <t>MODELLING CLAYS</t>
  </si>
  <si>
    <t>TAPES</t>
  </si>
  <si>
    <t>CLIPS &amp; PINS - PAPER</t>
  </si>
  <si>
    <t>OIL PASTELS</t>
  </si>
  <si>
    <t>WHITE BOARD &amp; ACCESSORIES</t>
  </si>
  <si>
    <t>COLOUR PENCILS</t>
  </si>
  <si>
    <t xml:space="preserve">PAINT - WATER COLOURS </t>
  </si>
  <si>
    <t>NB: We reserve the right to increase our prices due to factors beyond our control</t>
  </si>
  <si>
    <t>PRICES EFFECTIVE FROM 01 SEPTEMBER 2024, V.A.T. EXCLUDED (Subject to change)</t>
  </si>
  <si>
    <t>STOCK CODE</t>
  </si>
  <si>
    <t>DESCRIPTION OF PRODUCTS</t>
  </si>
  <si>
    <t>CASE PACK</t>
  </si>
  <si>
    <t>BOOKS / PACK</t>
  </si>
  <si>
    <t>PACKS / CASE</t>
  </si>
  <si>
    <t>EACH PRICE</t>
  </si>
  <si>
    <t>BARCODES</t>
  </si>
  <si>
    <t>EACH</t>
  </si>
  <si>
    <t>PACK</t>
  </si>
  <si>
    <t>HARD COVERS A4 COUNTER BOOKS - STITCHED &amp; GLUED</t>
  </si>
  <si>
    <t>1021</t>
  </si>
  <si>
    <t>1 Quire / 96 pages A4 Counter Books F/M</t>
  </si>
  <si>
    <t>1021S</t>
  </si>
  <si>
    <t>1 Quire / 96 pages A4 Counter Books F/M Sealed (No shrinkwrap)</t>
  </si>
  <si>
    <t>N/A</t>
  </si>
  <si>
    <t>1022</t>
  </si>
  <si>
    <t>1 Quire / 96 pages A4 Counter Books Q/M</t>
  </si>
  <si>
    <t>1023</t>
  </si>
  <si>
    <t>2 Quire / 192 pages A4 Counter Books F/M</t>
  </si>
  <si>
    <t>1023S</t>
  </si>
  <si>
    <t>2 Quire / 192 pages A4 Counter Books F/M Sealed (No shrinkwrap)</t>
  </si>
  <si>
    <t>1024</t>
  </si>
  <si>
    <t>2 Quire / 192 pages A4 Counter Books Q/M</t>
  </si>
  <si>
    <t>1025</t>
  </si>
  <si>
    <t>3 Quire / 288 pages A4 Counter Books F/M</t>
  </si>
  <si>
    <t>1025S</t>
  </si>
  <si>
    <r>
      <rPr>
        <rFont val="Play"/>
        <color theme="1"/>
        <sz val="11.0"/>
      </rPr>
      <t>3 Quire / 288 pages A4 Counter Books F/M Sealed (No shrinkwrap)</t>
    </r>
    <r>
      <rPr>
        <rFont val="Aptos Display"/>
        <color rgb="FFFF0000"/>
        <sz val="11.0"/>
      </rPr>
      <t xml:space="preserve"> </t>
    </r>
  </si>
  <si>
    <t>1026</t>
  </si>
  <si>
    <t>3 Quire / 288 pages A4 Counter Books Q/M</t>
  </si>
  <si>
    <t>1029</t>
  </si>
  <si>
    <t>4 Quire / 384 pages A4 Counter Books F/M</t>
  </si>
  <si>
    <t>1027</t>
  </si>
  <si>
    <t>128 pages A4 Counter Books F/M</t>
  </si>
  <si>
    <t>HARD COVERS A5 MANUSCRIPT BOOKS - STITCHED &amp; GLUED</t>
  </si>
  <si>
    <t>1040</t>
  </si>
  <si>
    <t>96 pages A5 Manuscript Books F/M</t>
  </si>
  <si>
    <t>1042</t>
  </si>
  <si>
    <t>128 pages A5 Manuscript Books F/M</t>
  </si>
  <si>
    <t>1044</t>
  </si>
  <si>
    <t xml:space="preserve">192 pages A5 Manuscript Books F/M </t>
  </si>
  <si>
    <t>1045</t>
  </si>
  <si>
    <t>192 pages A5 Manuscript Books Q/M</t>
  </si>
  <si>
    <t>EXAMINATION PADS - A4</t>
  </si>
  <si>
    <t>3054</t>
  </si>
  <si>
    <t>80L A4 Exam Pads - Punched</t>
  </si>
  <si>
    <t>3050</t>
  </si>
  <si>
    <t>100L A4 Exam Pads - Punched</t>
  </si>
  <si>
    <t>3050S</t>
  </si>
  <si>
    <t xml:space="preserve">100L A4 Exam Pads - Punched Sealed (No shrinkwrap) </t>
  </si>
  <si>
    <t>SOFT COVERS A4</t>
  </si>
  <si>
    <t>2011</t>
  </si>
  <si>
    <t>32 pages A4 College Books F/M</t>
  </si>
  <si>
    <t>2013</t>
  </si>
  <si>
    <t>32 pages A4 College Books Q/M</t>
  </si>
  <si>
    <t>2019</t>
  </si>
  <si>
    <t>48 pages A4 College Books F/M</t>
  </si>
  <si>
    <t>2014</t>
  </si>
  <si>
    <t>72 pages A4 College Books F/M</t>
  </si>
  <si>
    <t>2014S</t>
  </si>
  <si>
    <t>72 pages A4 College Books F/M Sealed (No shrinkwrap)</t>
  </si>
  <si>
    <t>2015</t>
  </si>
  <si>
    <t>72 pages A4 College Books I/M</t>
  </si>
  <si>
    <t>2016</t>
  </si>
  <si>
    <t>72 pages A4 College Books Q/M</t>
  </si>
  <si>
    <t>2083</t>
  </si>
  <si>
    <t>72 pages A4 College Books Unruled</t>
  </si>
  <si>
    <t>2086</t>
  </si>
  <si>
    <t xml:space="preserve">72 pages A4 College Books 17mm </t>
  </si>
  <si>
    <t>2092</t>
  </si>
  <si>
    <r>
      <rPr>
        <rFont val="Play"/>
        <color theme="1"/>
        <sz val="11.0"/>
      </rPr>
      <t>72 pages A4 College Books F/M Speckled</t>
    </r>
    <r>
      <rPr>
        <rFont val="Aptos Display"/>
        <b/>
        <color rgb="FFFF0000"/>
        <sz val="11.0"/>
      </rPr>
      <t xml:space="preserve"> </t>
    </r>
  </si>
  <si>
    <t>2093</t>
  </si>
  <si>
    <t>72 pages A4 College Books 17mm Speckled</t>
  </si>
  <si>
    <t>SOFT COVERS A5</t>
  </si>
  <si>
    <t>2025</t>
  </si>
  <si>
    <t>32 pages A5 Exercise Books F/M</t>
  </si>
  <si>
    <t>2028</t>
  </si>
  <si>
    <t>48 pages A5 Exercise Books F/M</t>
  </si>
  <si>
    <t>2041</t>
  </si>
  <si>
    <t>48 pages A5 Exercise Books 17mm</t>
  </si>
  <si>
    <t>2033</t>
  </si>
  <si>
    <t>72 pages A5 Exercise Books F/M</t>
  </si>
  <si>
    <t>2034</t>
  </si>
  <si>
    <t>72 pages A5 Exercise Books I/M</t>
  </si>
  <si>
    <t>2035</t>
  </si>
  <si>
    <t>72 pages A5 Exercise Books Q/M</t>
  </si>
  <si>
    <t>2042</t>
  </si>
  <si>
    <t>72 pages A5 Exercise Books Unruled</t>
  </si>
  <si>
    <t>ACCOUNTING BOOKS</t>
  </si>
  <si>
    <t>2001</t>
  </si>
  <si>
    <t>72 pages A4 Accounting Books Cash</t>
  </si>
  <si>
    <t>2002</t>
  </si>
  <si>
    <t>72 pages A4 Accounting Books Ledger</t>
  </si>
  <si>
    <t>2003</t>
  </si>
  <si>
    <t>72 pages A4 Accounting Books Journal</t>
  </si>
  <si>
    <t>2004</t>
  </si>
  <si>
    <t xml:space="preserve">72 pages A4 Accounting Books 8MC Cash Journal </t>
  </si>
  <si>
    <t>2005</t>
  </si>
  <si>
    <t>72 pages A4 Accounting Books 8MC Creditors Journal</t>
  </si>
  <si>
    <t>ATTENDANCE REGISTERS</t>
  </si>
  <si>
    <t>3097</t>
  </si>
  <si>
    <t xml:space="preserve">School Attendance registers A4L (12 Leaves) </t>
  </si>
  <si>
    <t>3098</t>
  </si>
  <si>
    <t>Office Attendance registers A4 (14 Leaves)</t>
  </si>
  <si>
    <t>DRAWING BOOKS</t>
  </si>
  <si>
    <t>3001</t>
  </si>
  <si>
    <t>24 pages A4L Drawing Books - Tissue</t>
  </si>
  <si>
    <t>3002</t>
  </si>
  <si>
    <t>24 pages A4L Drawing Books - No Tissue</t>
  </si>
  <si>
    <t>3003</t>
  </si>
  <si>
    <t>32 pages A3L Drawing Books - Tissue</t>
  </si>
  <si>
    <t>3009</t>
  </si>
  <si>
    <t>32 pages A3L Drawing Books - No Tissue</t>
  </si>
  <si>
    <t>GRAPH BOOKS</t>
  </si>
  <si>
    <t>3011</t>
  </si>
  <si>
    <t>36 pages A4 Graph Books 2mm</t>
  </si>
  <si>
    <t>INDEX BOOKS - HARD COVERS</t>
  </si>
  <si>
    <t>1062</t>
  </si>
  <si>
    <t>144 pages A6 Memo Books Indexed A-Z</t>
  </si>
  <si>
    <t>1064</t>
  </si>
  <si>
    <t>192 pages A5 Manuscript Books Indexed A-Z</t>
  </si>
  <si>
    <t>1020</t>
  </si>
  <si>
    <t>2 Quire A4 Counter Books Indexed A-Z</t>
  </si>
  <si>
    <t>JOTTERS / SCRIBBLERS A4 NEWSPRINT BOOKS</t>
  </si>
  <si>
    <t>2067</t>
  </si>
  <si>
    <t>72 pages A4 Jotters F/M</t>
  </si>
  <si>
    <t>2068</t>
  </si>
  <si>
    <t>72 pages A4 Jotter Unruled</t>
  </si>
  <si>
    <t>MEMO BOOKS</t>
  </si>
  <si>
    <t>2054</t>
  </si>
  <si>
    <t>48 pages A6 Memo Books</t>
  </si>
  <si>
    <t>2055</t>
  </si>
  <si>
    <t>72 pages A6 Memo Books</t>
  </si>
  <si>
    <t>1060</t>
  </si>
  <si>
    <t>96 pages A6 Memo Books - Hard covers</t>
  </si>
  <si>
    <t>1061</t>
  </si>
  <si>
    <t>128 pages A6 Memo Books - Hard covers</t>
  </si>
  <si>
    <t>1063</t>
  </si>
  <si>
    <t>144 pages A6 Memo Books - Hard covers</t>
  </si>
  <si>
    <t>NATURE STUDY BOOKS</t>
  </si>
  <si>
    <t>2060</t>
  </si>
  <si>
    <t>72 pages A4 Nature Study Books F/M</t>
  </si>
  <si>
    <t>2062</t>
  </si>
  <si>
    <t>72 pages A4 Nature Study Books I/M</t>
  </si>
  <si>
    <t>RULED PAPER (½ Ream = 240 sheets &amp; 1 Ream = 500 sheets)</t>
  </si>
  <si>
    <t>3015</t>
  </si>
  <si>
    <t xml:space="preserve">A4 Fly Paper - F/M (½ Ream) </t>
  </si>
  <si>
    <t>3031</t>
  </si>
  <si>
    <t xml:space="preserve">A4 Single Sheets - F/M Punched (Ream) </t>
  </si>
  <si>
    <t>3032</t>
  </si>
  <si>
    <t xml:space="preserve">A4 Single Sheets - F/M Unpunched (Ream) </t>
  </si>
  <si>
    <t>SKETCH PADS</t>
  </si>
  <si>
    <t>026T</t>
  </si>
  <si>
    <t>Marlin A4L Sketch pad 25 leaves side spiral</t>
  </si>
  <si>
    <t>026X</t>
  </si>
  <si>
    <t>Marlin A3L Sketch pad 40 leaves side spiral</t>
  </si>
  <si>
    <t>HARDCOVER NOTEBOOK JOURNALS</t>
  </si>
  <si>
    <t>025N</t>
  </si>
  <si>
    <t xml:space="preserve">A5 Hard Cover Journal 80Sht-Asst Designs </t>
  </si>
  <si>
    <t>026B</t>
  </si>
  <si>
    <t>Marlin side spiral Wiro Note Book A4 150 pages punched &amp; perforated</t>
  </si>
  <si>
    <t>026K</t>
  </si>
  <si>
    <t>Marlin side spiral note book A4 100 pages punched &amp; perforated</t>
  </si>
  <si>
    <t>026H</t>
  </si>
  <si>
    <t>Marlin top spiral short hand pad A5 140 pages</t>
  </si>
  <si>
    <t>026S</t>
  </si>
  <si>
    <t>Marlin side spiral short hand pad A5 140 pages</t>
  </si>
  <si>
    <t>026I</t>
  </si>
  <si>
    <t>Marlin side spiral note book A6 100 pages</t>
  </si>
  <si>
    <t>026J</t>
  </si>
  <si>
    <t>Marlin top spiral note book A7 72 pages</t>
  </si>
  <si>
    <t>026U</t>
  </si>
  <si>
    <r>
      <rPr>
        <rFont val="Play"/>
        <color theme="1"/>
        <sz val="11.0"/>
      </rPr>
      <t xml:space="preserve">Marlin </t>
    </r>
    <r>
      <rPr>
        <rFont val="Aptos Display"/>
        <b/>
        <color theme="1"/>
        <sz val="11.0"/>
      </rPr>
      <t>DESIGN</t>
    </r>
    <r>
      <rPr>
        <rFont val="Aptos Display"/>
        <color theme="1"/>
        <sz val="11.0"/>
      </rPr>
      <t xml:space="preserve"> side spiral notebook A4 100 pages  F/M - assorted designs, with PP cover</t>
    </r>
  </si>
  <si>
    <t>026V</t>
  </si>
  <si>
    <r>
      <rPr>
        <rFont val="Play"/>
        <color theme="1"/>
        <sz val="11.0"/>
      </rPr>
      <t xml:space="preserve">Marlin </t>
    </r>
    <r>
      <rPr>
        <rFont val="Aptos Display"/>
        <b/>
        <color theme="1"/>
        <sz val="11.0"/>
      </rPr>
      <t>DESIGN</t>
    </r>
    <r>
      <rPr>
        <rFont val="Aptos Display"/>
        <color theme="1"/>
        <sz val="11.0"/>
      </rPr>
      <t xml:space="preserve"> side spiral short hand pad A5 140 pages feint- assorted designs, with PP cover </t>
    </r>
  </si>
  <si>
    <t>026W</t>
  </si>
  <si>
    <r>
      <rPr>
        <rFont val="Play"/>
        <color theme="1"/>
        <sz val="11.0"/>
      </rPr>
      <t xml:space="preserve">Marlin </t>
    </r>
    <r>
      <rPr>
        <rFont val="Aptos Display"/>
        <b/>
        <color theme="1"/>
        <sz val="11.0"/>
      </rPr>
      <t>DESIGN</t>
    </r>
    <r>
      <rPr>
        <rFont val="Aptos Display"/>
        <color theme="1"/>
        <sz val="11.0"/>
      </rPr>
      <t xml:space="preserve"> side spiral notebook A6 100 pages Feint - assorted designs, with PP cover</t>
    </r>
  </si>
  <si>
    <t>PRICES ON ANY OTHER BOOKS OR PERSONALIZED STATIONERY ARE AVAILABLE ON REQUEST</t>
  </si>
  <si>
    <t>PRICES EFFECTIVE FROM 01 SEPTEMBER 2024, V.A.T. EXCLUDED. Subject to change.</t>
  </si>
  <si>
    <t>DESCRIPTION</t>
  </si>
  <si>
    <t>PRICE</t>
  </si>
  <si>
    <t>MOQ</t>
  </si>
  <si>
    <t>PK</t>
  </si>
  <si>
    <t>CASE</t>
  </si>
  <si>
    <t>BARCODE</t>
  </si>
  <si>
    <t>025A</t>
  </si>
  <si>
    <t>Marlin Easy Stick 50g</t>
  </si>
  <si>
    <t>025B</t>
  </si>
  <si>
    <t>Marlin Easy Stick 100g + 20g FREE</t>
  </si>
  <si>
    <t>010A</t>
  </si>
  <si>
    <t xml:space="preserve">Marlin Kids plastic aprons asst - light Blue, Green, Red, Pink, Yellow, Dark Blue </t>
  </si>
  <si>
    <t>016A</t>
  </si>
  <si>
    <t>Marlin Paint brushes No.8 round 12's</t>
  </si>
  <si>
    <t>016B</t>
  </si>
  <si>
    <t>Marlin Paint brushes No.10 round 12's</t>
  </si>
  <si>
    <t>016C</t>
  </si>
  <si>
    <t>Marlin Paint brushes No.12 round 12's</t>
  </si>
  <si>
    <t>016D</t>
  </si>
  <si>
    <t>Marlin Paint brushes No.14 round 12's</t>
  </si>
  <si>
    <t>016J</t>
  </si>
  <si>
    <t>Marlin Artist Brush Set 12's - Sizes 1 to 12</t>
  </si>
  <si>
    <t>016E</t>
  </si>
  <si>
    <t>Marlin Artist Brush Set Plastic Handle 4's - 3 Sizes</t>
  </si>
  <si>
    <t>031D</t>
  </si>
  <si>
    <t>Marlin Kids Glitter 7g 5's Blue, Green, Red, Gold &amp; Silver blister card</t>
  </si>
  <si>
    <t>031E</t>
  </si>
  <si>
    <t xml:space="preserve">Marlin Kids Glitter 7g 2's Gold &amp; Silver blister card </t>
  </si>
  <si>
    <t>031L</t>
  </si>
  <si>
    <t>Marlin Kids Glitter shaker 60g, 6 Colours, 10g per colour</t>
  </si>
  <si>
    <t>031F</t>
  </si>
  <si>
    <t xml:space="preserve">Marlin Kids Glitter Stars assorted 10g blister card </t>
  </si>
  <si>
    <t>031H</t>
  </si>
  <si>
    <t>Marlin Kids Glitter Glue 10ml 5's - Blue, Green, Red, Gold &amp; Silver blister card</t>
  </si>
  <si>
    <t>031M</t>
  </si>
  <si>
    <t>Marlin Kids Glitter Glue 10ml 2's - Gold &amp; Silver blister card</t>
  </si>
  <si>
    <t>009U</t>
  </si>
  <si>
    <t>Marlin PVC pouch / book bag 36 x 24cm with Velcro fastener / Zip</t>
  </si>
  <si>
    <t>009Y</t>
  </si>
  <si>
    <t xml:space="preserve">Marlin book bag 29cm x 37cm </t>
  </si>
  <si>
    <t>009Z</t>
  </si>
  <si>
    <t xml:space="preserve">Marlin 2 Division Neoprene Book Bag 34cm x 27½cm Royalty Designs </t>
  </si>
  <si>
    <t>006A</t>
  </si>
  <si>
    <t>Marlin Dummy solar calculator 8 digit in box</t>
  </si>
  <si>
    <t>006B</t>
  </si>
  <si>
    <t>Marlin Scientific calculator 10 digit in box 56 functions</t>
  </si>
  <si>
    <t>SM241</t>
  </si>
  <si>
    <t>Marlin Dummy solar calculator 8 digit in blister card</t>
  </si>
  <si>
    <t>SM84</t>
  </si>
  <si>
    <t>Marlin Scientific calculator 10 digit in blister card 56 functions</t>
  </si>
  <si>
    <t>SM87</t>
  </si>
  <si>
    <t>Marlin Scientific calculator in blister card 240 functions</t>
  </si>
  <si>
    <t>SM88</t>
  </si>
  <si>
    <t>Marlin Desktop calculator 8 digit in blister card</t>
  </si>
  <si>
    <t>SM91</t>
  </si>
  <si>
    <t>Marlin Desktop calculator 12 digit in blister card</t>
  </si>
  <si>
    <t>CHAIR BAGS</t>
  </si>
  <si>
    <t>010B</t>
  </si>
  <si>
    <t>Marlin Kids polyester chair bags 40 x 40cm Burgundy, Grey, Grn, Yel, Red, Blue</t>
  </si>
  <si>
    <t>CHALK NON-TOXIC &amp; DUSTER</t>
  </si>
  <si>
    <t>034A</t>
  </si>
  <si>
    <t xml:space="preserve">Marlin Kids White chalk 12's </t>
  </si>
  <si>
    <t>034B</t>
  </si>
  <si>
    <t xml:space="preserve">Marlin Kids colour chalk 12's                                             </t>
  </si>
  <si>
    <t>034C</t>
  </si>
  <si>
    <t xml:space="preserve">Marlin White chalk 100's                                            </t>
  </si>
  <si>
    <t>034D</t>
  </si>
  <si>
    <t xml:space="preserve">Marlin colour chalk 100's                                                                      </t>
  </si>
  <si>
    <t>034K</t>
  </si>
  <si>
    <t>Edo White Chalk 100's</t>
  </si>
  <si>
    <t>034M</t>
  </si>
  <si>
    <t xml:space="preserve">Edo Colour Chalk 100's </t>
  </si>
  <si>
    <t>034G</t>
  </si>
  <si>
    <t>Marlin Kids White chalk jumbo 6's</t>
  </si>
  <si>
    <t>034F</t>
  </si>
  <si>
    <t>Marlin Kids colour chalk jumbo 6's</t>
  </si>
  <si>
    <t>034H</t>
  </si>
  <si>
    <t>Marlin White Board / Chalkboard 1's A4</t>
  </si>
  <si>
    <t>9310</t>
  </si>
  <si>
    <t>Marlin Chalkboard duster - wooden with Green felt</t>
  </si>
  <si>
    <t>019I</t>
  </si>
  <si>
    <t>Marlin Chalkboard ruler 1meter</t>
  </si>
  <si>
    <t>019J</t>
  </si>
  <si>
    <t>Marlin Chalkboard T-Square</t>
  </si>
  <si>
    <t>019K</t>
  </si>
  <si>
    <t xml:space="preserve">Marlin Chalkboard compass </t>
  </si>
  <si>
    <t>019L</t>
  </si>
  <si>
    <t xml:space="preserve">Marlin Chalkboard set square 45 degree </t>
  </si>
  <si>
    <t>019M</t>
  </si>
  <si>
    <t>Marlin Chalkboard set square 60 degree</t>
  </si>
  <si>
    <t>019N</t>
  </si>
  <si>
    <t xml:space="preserve">Marlin Chalkboard protractor </t>
  </si>
  <si>
    <t>010D</t>
  </si>
  <si>
    <t xml:space="preserve">Marlin Masonite Clipboards 240mm x 340mm </t>
  </si>
  <si>
    <t>050I</t>
  </si>
  <si>
    <t xml:space="preserve">Marlin Office Essentials Silver paper clips 33mm 100’s </t>
  </si>
  <si>
    <t>050J</t>
  </si>
  <si>
    <t xml:space="preserve">Marlin Office Essentials Silver paper clips 50mm 100’s </t>
  </si>
  <si>
    <t>050K</t>
  </si>
  <si>
    <t xml:space="preserve">Marlin Office Essentials Silver office pin 26mm 100g </t>
  </si>
  <si>
    <t>050H</t>
  </si>
  <si>
    <t xml:space="preserve">Marlin Office Essentials Silver thumbtacks / drawing pins 11mm 100's </t>
  </si>
  <si>
    <t>050L</t>
  </si>
  <si>
    <t>Marlin Office Essentials Brass paper binders 25mm 100's</t>
  </si>
  <si>
    <t>SM158</t>
  </si>
  <si>
    <t xml:space="preserve">Marlin Office Essentials Silver paper clips 33mm 100's blister card </t>
  </si>
  <si>
    <t>SM159</t>
  </si>
  <si>
    <t xml:space="preserve">Marlin Office Essentials Silver paper clips 50mm 50's blister card </t>
  </si>
  <si>
    <t>SM166</t>
  </si>
  <si>
    <t xml:space="preserve">Marlin Office Essentials colour paper clips 33mm 100's blister card </t>
  </si>
  <si>
    <t>SM165</t>
  </si>
  <si>
    <t>050B</t>
  </si>
  <si>
    <t xml:space="preserve">Marlin Office Essentials fold back clips 15mm 12’s </t>
  </si>
  <si>
    <t>050C</t>
  </si>
  <si>
    <t xml:space="preserve">Marlin Office Essentials fold back clips 19mm 12’s </t>
  </si>
  <si>
    <t>050D</t>
  </si>
  <si>
    <t xml:space="preserve">Marlin Office Essentials fold back clips 25mm 12’s </t>
  </si>
  <si>
    <t>050E</t>
  </si>
  <si>
    <t xml:space="preserve">Marlin Office Essentials fold back clips 32mm 12’s </t>
  </si>
  <si>
    <t>050F</t>
  </si>
  <si>
    <t xml:space="preserve">Marlin Office Essentials fold back clips 41mm 12’s </t>
  </si>
  <si>
    <t>050G</t>
  </si>
  <si>
    <t xml:space="preserve">Marlin Office Essentials fold back clips 51mm 12’s </t>
  </si>
  <si>
    <t>SM150</t>
  </si>
  <si>
    <t>Marlin Office Essentials fold back clips 25mm 8’s - on blister card</t>
  </si>
  <si>
    <t>SM151</t>
  </si>
  <si>
    <t>Marlin Office Essentials fold back clips 19mm 12’s - on blister card</t>
  </si>
  <si>
    <t>COLOUR PENCILS NON-TOXIC SHARPENED</t>
  </si>
  <si>
    <t>036L</t>
  </si>
  <si>
    <t xml:space="preserve">Marlin Kids colour pencils 12's short </t>
  </si>
  <si>
    <t>036J</t>
  </si>
  <si>
    <t xml:space="preserve">Marlin Kids colour pencils 12's long  </t>
  </si>
  <si>
    <t>036K</t>
  </si>
  <si>
    <t>Marlin Kids colour pencils 24's long</t>
  </si>
  <si>
    <t>008I</t>
  </si>
  <si>
    <t>Marlin Kids colour pencils 12's long triangular</t>
  </si>
  <si>
    <t>036B</t>
  </si>
  <si>
    <t>Edo colour pencils 12's short</t>
  </si>
  <si>
    <t>036A</t>
  </si>
  <si>
    <t>Edo colour pencils 12's long</t>
  </si>
  <si>
    <t>036G</t>
  </si>
  <si>
    <t>Edo colour pencils 24's long</t>
  </si>
  <si>
    <t>036D</t>
  </si>
  <si>
    <t xml:space="preserve">Marlin Kids Aquarelle Triangular Colour Pencils 12's + Brush </t>
  </si>
  <si>
    <t>036R</t>
  </si>
  <si>
    <t xml:space="preserve">Marlin Kids Tri Jumbo Triangular Colour Pencils 12's </t>
  </si>
  <si>
    <t>018F</t>
  </si>
  <si>
    <t>Marlin Kids My Favourite colouring books 24 pages</t>
  </si>
  <si>
    <t>018E</t>
  </si>
  <si>
    <t>Marlin Kids Playtime Dot to Dot activity books 48 pages</t>
  </si>
  <si>
    <t>021B</t>
  </si>
  <si>
    <t>Marlin Kids Fun time colouring books 48 pages</t>
  </si>
  <si>
    <t>018G</t>
  </si>
  <si>
    <t>Marlin Kids Big-time bumper colouring books 80 pages</t>
  </si>
  <si>
    <t>021I</t>
  </si>
  <si>
    <t xml:space="preserve">Marlin Kids Super activity books 80 pages                               </t>
  </si>
  <si>
    <t>021C</t>
  </si>
  <si>
    <t>Marlin Kids Fun with colouring books 96 pages</t>
  </si>
  <si>
    <t>021A</t>
  </si>
  <si>
    <t>Marlin Kids Mega colouring books 120 pages</t>
  </si>
  <si>
    <t>021D</t>
  </si>
  <si>
    <t>Marlin Kids Activity books 240 pages</t>
  </si>
  <si>
    <t>021E</t>
  </si>
  <si>
    <t>Marlin Kids Jumbo colouring books 304 pages</t>
  </si>
  <si>
    <t>021F</t>
  </si>
  <si>
    <t>Marlin Kids Activity books 304 pages</t>
  </si>
  <si>
    <t>018D</t>
  </si>
  <si>
    <r>
      <rPr>
        <rFont val="Play"/>
        <color theme="1"/>
        <sz val="11.0"/>
      </rPr>
      <t xml:space="preserve">Marlin Kids Wild Friends 24 pages Colouring &amp; Activity Book BOND PAPER </t>
    </r>
    <r>
      <rPr>
        <rFont val="Aptos Display"/>
        <b/>
        <color rgb="FFFF0000"/>
        <sz val="11.0"/>
      </rPr>
      <t>NEW</t>
    </r>
  </si>
  <si>
    <t>6009699513529</t>
  </si>
  <si>
    <t>038A</t>
  </si>
  <si>
    <t>Marlin Office Essentials Correction fluid bottle 20ml with brush 12's quick dry</t>
  </si>
  <si>
    <t>038B</t>
  </si>
  <si>
    <t xml:space="preserve">Marlin Office Essentials Correction fluid pen type 7ml 12's metal tip 0.8mm </t>
  </si>
  <si>
    <t>SM81</t>
  </si>
  <si>
    <t>Marlin Office Essentials Correction fluid bottle 20ml with brush 1's quick dry</t>
  </si>
  <si>
    <t>SM82</t>
  </si>
  <si>
    <t>Marlin Office Essentials Correction fluid pen type 7ml 1's metal tip 0.8mm</t>
  </si>
  <si>
    <t>SM86</t>
  </si>
  <si>
    <t xml:space="preserve">Marlin Office Essentials Correction tape 6m 1's </t>
  </si>
  <si>
    <t>041L</t>
  </si>
  <si>
    <t xml:space="preserve">Marlin Kids retractable crayons 12's  </t>
  </si>
  <si>
    <t>CRAYONS - WAX NON-TOXIC</t>
  </si>
  <si>
    <t>041B</t>
  </si>
  <si>
    <t>Marlin Kids wax crayons 8mm 12's</t>
  </si>
  <si>
    <t>041C</t>
  </si>
  <si>
    <t>Marlin Kids wax crayons 8mm 24's</t>
  </si>
  <si>
    <t>041H</t>
  </si>
  <si>
    <t>Marlin Kids jumbo wax crayons 14mm 9's</t>
  </si>
  <si>
    <t>041A</t>
  </si>
  <si>
    <t>Marlin Kids jumbo wax crayons 14mm 12's</t>
  </si>
  <si>
    <t>041F</t>
  </si>
  <si>
    <t>Edo wax crayons 8mm 12's</t>
  </si>
  <si>
    <t>041G</t>
  </si>
  <si>
    <t>Edo wax crayons 8mm 24's</t>
  </si>
  <si>
    <t>060B</t>
  </si>
  <si>
    <t>Marlin Cube Refills White 10x10cm in shrink-wrap</t>
  </si>
  <si>
    <t>060E</t>
  </si>
  <si>
    <t>Marlin Memo Cubes Assorted Pastels (5 colours per cube 100mm x 100mm)</t>
  </si>
  <si>
    <t>060F</t>
  </si>
  <si>
    <t>Marlin Memo Cubes Assorted Brights (5 colours per cube 100mm x 100mm)</t>
  </si>
  <si>
    <t>022A</t>
  </si>
  <si>
    <t>"The NEW Choice" English Dictionary</t>
  </si>
  <si>
    <t>022C</t>
  </si>
  <si>
    <t xml:space="preserve">"The NEW Choice" Afrikaans/English, English/Afrikaans Dictionary </t>
  </si>
  <si>
    <t>022D</t>
  </si>
  <si>
    <r>
      <rPr>
        <rFont val="Play"/>
        <color theme="1"/>
        <sz val="11.0"/>
      </rPr>
      <t>Marlin Compact English/Zulu, Zulu/English Dictionary</t>
    </r>
    <r>
      <rPr>
        <rFont val="Aptos Display"/>
        <b/>
        <color theme="1"/>
        <sz val="11.0"/>
      </rPr>
      <t xml:space="preserve"> </t>
    </r>
  </si>
  <si>
    <t>072D</t>
  </si>
  <si>
    <t xml:space="preserve">Marlin My homework diaries undated </t>
  </si>
  <si>
    <t>014G</t>
  </si>
  <si>
    <t>Marlin Kids Wooden frame abacus 100 beads</t>
  </si>
  <si>
    <t>014J</t>
  </si>
  <si>
    <t>Marlin Kids Plastic Abacus 120 beads flat board</t>
  </si>
  <si>
    <t>014A</t>
  </si>
  <si>
    <t>Marlin Kids Skipping Rope 2mtrs with wooden handles</t>
  </si>
  <si>
    <t>014M</t>
  </si>
  <si>
    <t>Marlin Kids Bean Bag</t>
  </si>
  <si>
    <t xml:space="preserve"> </t>
  </si>
  <si>
    <t>007B</t>
  </si>
  <si>
    <t>Marlin eraser 20 piece 60 x 20 x 10mm individually wrapped in box</t>
  </si>
  <si>
    <t>007A</t>
  </si>
  <si>
    <t>Marlin eraser 30 piece 35 x 15 x 10mm individually wrapped in box</t>
  </si>
  <si>
    <t>9030</t>
  </si>
  <si>
    <t>Marlin Tender erasers 45 x 20 x 10mm individually wrapped</t>
  </si>
  <si>
    <t>SM13</t>
  </si>
  <si>
    <t>Marlin eraser 60 x 20 x 10mm 1's blister card</t>
  </si>
  <si>
    <t>SM161</t>
  </si>
  <si>
    <t>Marlin jumbo professional eraser 70 x 30 x 15mm 1's</t>
  </si>
  <si>
    <t>SM162</t>
  </si>
  <si>
    <t>Marlin eraser 60 x 20 x 10mm Neon assorted colours 2 pack blister card</t>
  </si>
  <si>
    <t>SM164</t>
  </si>
  <si>
    <t>Marlin eraser 60 x 20 x 10mm 5's blister card VALUE PACK</t>
  </si>
  <si>
    <t>SM14</t>
  </si>
  <si>
    <t>Marlin metal sharpener 1 hole + eraser 60 x 20 x 10mm</t>
  </si>
  <si>
    <t>SM115</t>
  </si>
  <si>
    <t>Marlin eraser 3 pack 60x20x10mm + 2 hole sharpener with container</t>
  </si>
  <si>
    <t>SM140</t>
  </si>
  <si>
    <r>
      <rPr>
        <rFont val="Play"/>
        <color theme="1"/>
        <sz val="11.0"/>
      </rPr>
      <t>Marlin Kids Swing Clip Eraser</t>
    </r>
    <r>
      <rPr>
        <rFont val="Aptos Display"/>
        <b/>
        <color rgb="FFFF0000"/>
        <sz val="11.0"/>
      </rPr>
      <t xml:space="preserve"> </t>
    </r>
  </si>
  <si>
    <t>SM141</t>
  </si>
  <si>
    <t>Marlin Kids Circular Rotary Eraser</t>
  </si>
  <si>
    <t>SM149</t>
  </si>
  <si>
    <r>
      <rPr>
        <rFont val="Play"/>
        <color theme="1"/>
        <sz val="11.0"/>
      </rPr>
      <t xml:space="preserve">Marlin Kids Funtastic Duo Eraser &amp; 1 Hole Sharpener Canister </t>
    </r>
    <r>
      <rPr>
        <rFont val="Aptos Display"/>
        <b/>
        <color rgb="FFFF0000"/>
        <sz val="11.0"/>
      </rPr>
      <t>NEW</t>
    </r>
  </si>
  <si>
    <t>6009697796795</t>
  </si>
  <si>
    <t>SM160</t>
  </si>
  <si>
    <r>
      <rPr>
        <rFont val="Play"/>
        <color theme="1"/>
        <sz val="11.0"/>
      </rPr>
      <t xml:space="preserve">Marlin Retractable Eraser 1's </t>
    </r>
    <r>
      <rPr>
        <rFont val="Aptos Display"/>
        <b/>
        <color rgb="FFFF0000"/>
        <sz val="11.0"/>
      </rPr>
      <t>NEW</t>
    </r>
  </si>
  <si>
    <t>6009697796771</t>
  </si>
  <si>
    <t>SM169</t>
  </si>
  <si>
    <r>
      <rPr>
        <rFont val="Play"/>
        <color theme="1"/>
        <sz val="11.0"/>
      </rPr>
      <t xml:space="preserve">Marlin Kids Funtastic Novelty Erasers 3 piece </t>
    </r>
    <r>
      <rPr>
        <rFont val="Aptos Display"/>
        <b/>
        <color rgb="FFFF0000"/>
        <sz val="11.0"/>
      </rPr>
      <t>NEW</t>
    </r>
  </si>
  <si>
    <t>6009608644405</t>
  </si>
  <si>
    <t>029B</t>
  </si>
  <si>
    <t>Marlin Kids fibre tip pens 12's</t>
  </si>
  <si>
    <t>029C</t>
  </si>
  <si>
    <t>Marlin Kids fibre tip pens 24's</t>
  </si>
  <si>
    <t>029F</t>
  </si>
  <si>
    <t>Marlin Kids jumbo koki pens 8's</t>
  </si>
  <si>
    <t>FLIP CHARTS - INDIVIDUALLY  WRAPPED</t>
  </si>
  <si>
    <t>060G</t>
  </si>
  <si>
    <t xml:space="preserve">Marlin Bond paper flip chart 30 sheet 860 x 610mm </t>
  </si>
  <si>
    <t>060A</t>
  </si>
  <si>
    <t xml:space="preserve">Marlin Bond paper flip chart 40 Sheet 860 x 610mm </t>
  </si>
  <si>
    <t>060D</t>
  </si>
  <si>
    <t xml:space="preserve">Marlin Bond paper flip chart 50 Sheet 860 x 610mm </t>
  </si>
  <si>
    <t>035B</t>
  </si>
  <si>
    <t>Marlin glue stick non-toxic 20g 12's</t>
  </si>
  <si>
    <t>035C</t>
  </si>
  <si>
    <t xml:space="preserve">Marlin glue stick non-toxic 35g 12's  </t>
  </si>
  <si>
    <t>SM130</t>
  </si>
  <si>
    <t xml:space="preserve">Marlin glue stick non-toxic 20g 1's   </t>
  </si>
  <si>
    <t>SM131</t>
  </si>
  <si>
    <t xml:space="preserve">Marlin glue stick non-toxic 35g 1's </t>
  </si>
  <si>
    <t>SM133</t>
  </si>
  <si>
    <t>Marlin glue stick non-toxic 20g 3's VALUE PACK</t>
  </si>
  <si>
    <t>SM134</t>
  </si>
  <si>
    <t xml:space="preserve">Marlin glue stick non-toxic 35g 3's VALUE PACK </t>
  </si>
  <si>
    <t>035C1</t>
  </si>
  <si>
    <t>Marlin Super Stick Glue Sticks 1's - Bulk</t>
  </si>
  <si>
    <t>SM28</t>
  </si>
  <si>
    <t>Marlin Bright Liners Highlighter 1's assorted colours</t>
  </si>
  <si>
    <t>SM29</t>
  </si>
  <si>
    <t>Marlin Bright Liners Highlighter 2's assorted colours</t>
  </si>
  <si>
    <t>SM10</t>
  </si>
  <si>
    <t>Marlin Bright Liners Highlighter 4's assorted colours</t>
  </si>
  <si>
    <t>SM21</t>
  </si>
  <si>
    <t>Marlin Bright Liners pen type highlighter 4's assorted colours</t>
  </si>
  <si>
    <t>SM49</t>
  </si>
  <si>
    <t>Marlin Bright Liners Highlighter 6's assorted colours</t>
  </si>
  <si>
    <t>029G</t>
  </si>
  <si>
    <t>Marlin Bright Liners Highlighter 10's Yellow</t>
  </si>
  <si>
    <t>029H</t>
  </si>
  <si>
    <t>Marlin Bright Liners Highlighter 10's Orange</t>
  </si>
  <si>
    <t>029I</t>
  </si>
  <si>
    <t>Marlin Bright Liners Highlighter 10's Pink</t>
  </si>
  <si>
    <t>029J</t>
  </si>
  <si>
    <t>Marlin Bright Liners Highlighter 10's Green</t>
  </si>
  <si>
    <t>029P</t>
  </si>
  <si>
    <t>Marlin Bright Liners Highlighter 10's Purple</t>
  </si>
  <si>
    <t>029Q</t>
  </si>
  <si>
    <t xml:space="preserve">Marlin Bright Liners Highlighter 10's Blue </t>
  </si>
  <si>
    <t>SM12</t>
  </si>
  <si>
    <t xml:space="preserve">Marlin Pastel Highlighters 4's Assorted </t>
  </si>
  <si>
    <t>031I</t>
  </si>
  <si>
    <t>Marlin White craft glue non-toxic 40ml multi purpose</t>
  </si>
  <si>
    <t>031J</t>
  </si>
  <si>
    <t xml:space="preserve">Marlin White craft glue non-toxic 125ml multi purpose </t>
  </si>
  <si>
    <t>031K</t>
  </si>
  <si>
    <t xml:space="preserve">Marlin White craft glue non-toxic 250ml multi purpose </t>
  </si>
  <si>
    <t>SM45</t>
  </si>
  <si>
    <t>Marlin clear liquid glue 30ml 2 pack</t>
  </si>
  <si>
    <t>SM46</t>
  </si>
  <si>
    <t>Marlin clear liquid glue 50ml</t>
  </si>
  <si>
    <t>028A</t>
  </si>
  <si>
    <t>Marlin Blue border school labels with lines 60's</t>
  </si>
  <si>
    <t>028B</t>
  </si>
  <si>
    <t>Marlin Blue border school labels with lines 24's</t>
  </si>
  <si>
    <t>028P</t>
  </si>
  <si>
    <t xml:space="preserve">Marlin colour border labels 24's </t>
  </si>
  <si>
    <t>029E</t>
  </si>
  <si>
    <t>Marlin Dense Liners Permanent markers 10's Black</t>
  </si>
  <si>
    <t>029N</t>
  </si>
  <si>
    <t xml:space="preserve">Marlin Dense Liners Permanent markers 10's Blue </t>
  </si>
  <si>
    <t>029O</t>
  </si>
  <si>
    <t xml:space="preserve">Marlin Dense Liners Permanent markers 10's Red </t>
  </si>
  <si>
    <t>029K</t>
  </si>
  <si>
    <t>Marlin Dense Liners Permanent markers 10's Green</t>
  </si>
  <si>
    <t>SM20</t>
  </si>
  <si>
    <t xml:space="preserve">Marlin Dense Liners Permanent markers 1's Black </t>
  </si>
  <si>
    <t>SM192</t>
  </si>
  <si>
    <t xml:space="preserve">Marlin Dense Liners Permanent markers 1's Red </t>
  </si>
  <si>
    <t>SM193</t>
  </si>
  <si>
    <t xml:space="preserve">Marlin Dense Liners Permanent markers 1's Blue </t>
  </si>
  <si>
    <t>SM197</t>
  </si>
  <si>
    <t xml:space="preserve">Marlin Dense Liners Permanent markers 1's Green </t>
  </si>
  <si>
    <t>SM199</t>
  </si>
  <si>
    <t>Marlin Dense Liners Permanent markers 4's assorted - Black/Blue/Red/Green</t>
  </si>
  <si>
    <t>004A</t>
  </si>
  <si>
    <t xml:space="preserve">Marlin math set 11 piece in metal container    </t>
  </si>
  <si>
    <t>004E</t>
  </si>
  <si>
    <t>Edo math sets 9 piece in metal container</t>
  </si>
  <si>
    <t>004B</t>
  </si>
  <si>
    <t>Marlin Springbow Compass set (Springbow compass &amp; leads)</t>
  </si>
  <si>
    <t>9926</t>
  </si>
  <si>
    <t>Marlin A3 Drawing Board (Shockproof Plastic with non-skid feet)</t>
  </si>
  <si>
    <t>MODELLING CLAYS NON-TOXIC</t>
  </si>
  <si>
    <t>051A</t>
  </si>
  <si>
    <t>Marlin Kids Modelling clay 180g 6 normal &amp; 6 neon colours</t>
  </si>
  <si>
    <t>051B</t>
  </si>
  <si>
    <t>Marlin Kids Modelling clay 100g 6 neon colours</t>
  </si>
  <si>
    <t>051D</t>
  </si>
  <si>
    <t>Marlin Kids Modelling clay 200g 6 neon &amp; 6 normal colours</t>
  </si>
  <si>
    <t>051L</t>
  </si>
  <si>
    <t>Marlin Kids Modelling clay 120g 8 colours with 3 assorted moulds / cutters</t>
  </si>
  <si>
    <t>051F</t>
  </si>
  <si>
    <t>Marlin Kids Modelling clay 500g 5 colours Red, Yellow, Blue, Green &amp; Orange</t>
  </si>
  <si>
    <t>042A</t>
  </si>
  <si>
    <t xml:space="preserve">Marlin Kids oil pastels 12's </t>
  </si>
  <si>
    <t>042C</t>
  </si>
  <si>
    <t>Marlin Kids oil pastels 24's</t>
  </si>
  <si>
    <t>PAINT - WATER COLOURS NON-TOXIC</t>
  </si>
  <si>
    <t>017O</t>
  </si>
  <si>
    <t>Marlin Kids 12 jumbo water colours + brush in box</t>
  </si>
  <si>
    <t>017M</t>
  </si>
  <si>
    <t>Marlin Kids 12 water colours + brush in box</t>
  </si>
  <si>
    <t>9200</t>
  </si>
  <si>
    <t>Marlin Kids Paint powder 500g bucket Black</t>
  </si>
  <si>
    <t>9201</t>
  </si>
  <si>
    <t>Marlin Kids Paint powder 500g bucket Blue</t>
  </si>
  <si>
    <t>9217</t>
  </si>
  <si>
    <t>Marlin Kids Paint powder 500g bucket Brown</t>
  </si>
  <si>
    <t>9198</t>
  </si>
  <si>
    <t>Marlin Kids Paint powder 500g bucket Green</t>
  </si>
  <si>
    <t>9199</t>
  </si>
  <si>
    <t>Marlin Kids Paint powder 500g bucket Orange</t>
  </si>
  <si>
    <t>9212</t>
  </si>
  <si>
    <t>Marlin Kids Paint powder 500g bucket Purple</t>
  </si>
  <si>
    <t>9202</t>
  </si>
  <si>
    <t>Marlin Kids Paint powder 500g bucket Red</t>
  </si>
  <si>
    <t>9203</t>
  </si>
  <si>
    <t>Marlin Kids Paint powder 500g bucket White</t>
  </si>
  <si>
    <t>9204</t>
  </si>
  <si>
    <t>Marlin Kids Paint powder 500g bucket Yellow</t>
  </si>
  <si>
    <t>9208-BLACK</t>
  </si>
  <si>
    <t>Marlin Kids Paint powder 2kg bucket Black</t>
  </si>
  <si>
    <t>9208-BLUE</t>
  </si>
  <si>
    <t>Marlin Kids Paint powder 2kg bucket Blue</t>
  </si>
  <si>
    <t>9208-GREEN</t>
  </si>
  <si>
    <t>Marlin Kids Paint powder 2kg bucket Green</t>
  </si>
  <si>
    <t>9208-RED</t>
  </si>
  <si>
    <t>Marlin Kids Paint powder 2kg bucket Red</t>
  </si>
  <si>
    <t>9208-WHITE</t>
  </si>
  <si>
    <t>Marlin Kids Paint powder 2kg bucket White</t>
  </si>
  <si>
    <t>9208-YELLOW</t>
  </si>
  <si>
    <t>Marlin Kids Paint powder 2kg bucket Yellow</t>
  </si>
  <si>
    <t>9218-BLACK</t>
  </si>
  <si>
    <t>Marlin Kids Paint powder 4kg bucket Black</t>
  </si>
  <si>
    <t>9218-BLUE</t>
  </si>
  <si>
    <t>Marlin Kids Paint powder 4kg bucket Blue</t>
  </si>
  <si>
    <t>9218-GREEN</t>
  </si>
  <si>
    <t>Marlin Kids Paint powder 4kg bucket Green</t>
  </si>
  <si>
    <t>9218-RED</t>
  </si>
  <si>
    <t>Marlin Kids Paint powder 4kg bucket Red</t>
  </si>
  <si>
    <t>9218-WHITE</t>
  </si>
  <si>
    <t>Marlin Kids Paint powder 4kg bucket White</t>
  </si>
  <si>
    <t>9218-YELLOW</t>
  </si>
  <si>
    <t>Marlin Kids Paint powder 4kg bucket Yellow</t>
  </si>
  <si>
    <t xml:space="preserve">PEN CARBON BOOKS </t>
  </si>
  <si>
    <t>070A</t>
  </si>
  <si>
    <t>Marlin duplicate A5 books Order</t>
  </si>
  <si>
    <t>070B</t>
  </si>
  <si>
    <t>Marlin duplicate A5 books Delivery</t>
  </si>
  <si>
    <t>070C</t>
  </si>
  <si>
    <t>Marlin duplicate A5 books Invoice</t>
  </si>
  <si>
    <t>070D</t>
  </si>
  <si>
    <t>Marlin duplicate A5 books Feint</t>
  </si>
  <si>
    <t>070I</t>
  </si>
  <si>
    <t>Marlin duplicate A5 books Statement</t>
  </si>
  <si>
    <t>070K</t>
  </si>
  <si>
    <t>Marlin duplicate A5 books Cash sale</t>
  </si>
  <si>
    <t>070J</t>
  </si>
  <si>
    <t>Marlin duplicate A5 books Quotation</t>
  </si>
  <si>
    <t>071A</t>
  </si>
  <si>
    <t>Marlin duplicate A6 books Invoice</t>
  </si>
  <si>
    <t>071B</t>
  </si>
  <si>
    <t>Marlin duplicate A6 books Cash sale</t>
  </si>
  <si>
    <t>071C</t>
  </si>
  <si>
    <t>Marlin duplicate A6 books Feint</t>
  </si>
  <si>
    <t>071D</t>
  </si>
  <si>
    <t>Marlin duplicate A6 books Cash receipt</t>
  </si>
  <si>
    <t>071E</t>
  </si>
  <si>
    <t>Marlin duplicate A6 books Delivery</t>
  </si>
  <si>
    <t>071F</t>
  </si>
  <si>
    <t>Marlin duplicate A6 books Order</t>
  </si>
  <si>
    <t>073A</t>
  </si>
  <si>
    <t>Marlin triplicate A5 books Invoice</t>
  </si>
  <si>
    <t>073B</t>
  </si>
  <si>
    <t xml:space="preserve">Marlin triplicate A5 books Feint </t>
  </si>
  <si>
    <t>073C</t>
  </si>
  <si>
    <t>Marlin duplicate 5 to view Cash Receipt book 1 to 200</t>
  </si>
  <si>
    <t>073D</t>
  </si>
  <si>
    <t xml:space="preserve">Marlin Triplicate A6 Books Feint </t>
  </si>
  <si>
    <t>074A</t>
  </si>
  <si>
    <t xml:space="preserve">Marlin Duplicate A4 Books Feint </t>
  </si>
  <si>
    <t>PENCIL BAGS</t>
  </si>
  <si>
    <t>009N</t>
  </si>
  <si>
    <t>Marlin Denim pencil bag 20cm</t>
  </si>
  <si>
    <t>009E</t>
  </si>
  <si>
    <t xml:space="preserve">Marlin Denim pencil bag 34cm </t>
  </si>
  <si>
    <t>009F</t>
  </si>
  <si>
    <t>Marlin Tartan pencil bag 20cm</t>
  </si>
  <si>
    <t>009G</t>
  </si>
  <si>
    <t>Marlin Tartan pencil bag 34cm</t>
  </si>
  <si>
    <t>009K</t>
  </si>
  <si>
    <t>Marlin Polyester D600 1 division  30 x 9½cm pencil bag assorted colours</t>
  </si>
  <si>
    <t>009L</t>
  </si>
  <si>
    <t>Marlin Polyester D600 2 division 30 x 9½cm pencil bag assorted colours</t>
  </si>
  <si>
    <t>009M</t>
  </si>
  <si>
    <t>Marlin Polyester D600 3 division 30 x 9½cm pencil bag assorted colours</t>
  </si>
  <si>
    <t>009V</t>
  </si>
  <si>
    <t>Marlin Designer Pencil Bag 5½ x 19½ x 3½cm - 1 design; 3 colours / pack</t>
  </si>
  <si>
    <t>009W</t>
  </si>
  <si>
    <t>Marlin Designer Pencil Bag 7½ x 20 x 4cm - 1 design; 3 colours / pack</t>
  </si>
  <si>
    <t>009X</t>
  </si>
  <si>
    <t>Marlin Tube Pencil Bag 20cm x 6½cm - 1 design; 2 colours / pack</t>
  </si>
  <si>
    <t>009A</t>
  </si>
  <si>
    <t>Marlin 2 Division Pencil Bag - Asst. Designs A5 size</t>
  </si>
  <si>
    <t>009C</t>
  </si>
  <si>
    <t xml:space="preserve">Marlin Clear Pvc Pencil Bag 23cm X 11cm </t>
  </si>
  <si>
    <t>009I</t>
  </si>
  <si>
    <r>
      <rPr>
        <rFont val="Play"/>
        <color theme="1"/>
        <sz val="11.0"/>
      </rPr>
      <t xml:space="preserve">Marlin 1 Division Pencil Bag Assorted Designs 33x11cm </t>
    </r>
    <r>
      <rPr>
        <rFont val="Aptos Display"/>
        <b/>
        <color rgb="FFFF0000"/>
        <sz val="11.0"/>
      </rPr>
      <t>NEW</t>
    </r>
  </si>
  <si>
    <t>6009697796382</t>
  </si>
  <si>
    <t>009J</t>
  </si>
  <si>
    <r>
      <rPr>
        <rFont val="Play"/>
        <color theme="1"/>
        <sz val="11.0"/>
      </rPr>
      <t xml:space="preserve">Marlin 2 Division Pencil Bag Assorted Designs 33x11cm </t>
    </r>
    <r>
      <rPr>
        <rFont val="Aptos Display"/>
        <b/>
        <color rgb="FFFF0000"/>
        <sz val="11.0"/>
      </rPr>
      <t>NEW</t>
    </r>
  </si>
  <si>
    <t>6009697796368</t>
  </si>
  <si>
    <t>009T</t>
  </si>
  <si>
    <r>
      <rPr>
        <rFont val="Play"/>
        <color theme="1"/>
        <sz val="11.0"/>
      </rPr>
      <t xml:space="preserve">Marlin Clear Pencil Bag 33cm </t>
    </r>
    <r>
      <rPr>
        <rFont val="Aptos Display"/>
        <b/>
        <color rgb="FFFF0000"/>
        <sz val="11.0"/>
      </rPr>
      <t>NEW</t>
    </r>
  </si>
  <si>
    <t>6009697796849</t>
  </si>
  <si>
    <t>008D</t>
  </si>
  <si>
    <t>Marlin Scribblers HB end dipped pencil Black &amp; Silver striped box 12's</t>
  </si>
  <si>
    <t>008F</t>
  </si>
  <si>
    <t xml:space="preserve">Marlin Scribblers HB end dipped pencil Blue&amp; Yellow striped box 12's </t>
  </si>
  <si>
    <t>008L</t>
  </si>
  <si>
    <t xml:space="preserve">Marlin Jumbo triangular pencil HB 1's </t>
  </si>
  <si>
    <t>008G</t>
  </si>
  <si>
    <t>Edo pencils 50's HB in a clear PVC display box</t>
  </si>
  <si>
    <t>008M</t>
  </si>
  <si>
    <t xml:space="preserve">Edo pencils 12's HB </t>
  </si>
  <si>
    <t>008M1</t>
  </si>
  <si>
    <t xml:space="preserve">Edo pencils 1's HB BULK </t>
  </si>
  <si>
    <t>008N</t>
  </si>
  <si>
    <t>Marlin Graphite Pencils 2H end dipped pencil Black barrel 12's</t>
  </si>
  <si>
    <t xml:space="preserve">008O </t>
  </si>
  <si>
    <t>Marlin Graphite Pencils 3H end dipped pencil Black barrel 12's</t>
  </si>
  <si>
    <t>008Q</t>
  </si>
  <si>
    <t>Marlin Graphite pencils 2B end dipped pencil Black barrel 12's</t>
  </si>
  <si>
    <t>008P</t>
  </si>
  <si>
    <t>Marlin Graphite Sketch Set: 1 x 2H/HB/B/2B/4B/6B + m/sharpener + eraser</t>
  </si>
  <si>
    <t>SM120</t>
  </si>
  <si>
    <t>Marlin Scribblers HB end dipped pencil Black &amp; Silver striped carded 4's</t>
  </si>
  <si>
    <t>SM122</t>
  </si>
  <si>
    <t xml:space="preserve">Marlin Scribblers HB end dipped pencil Blue &amp; Yellow striped carded 4's </t>
  </si>
  <si>
    <t>SM110</t>
  </si>
  <si>
    <t>Marlin Graphite Pencils 2H end dipped pencil Black barrel 4's</t>
  </si>
  <si>
    <t>SM111</t>
  </si>
  <si>
    <t>Marlin Graphite Pencils 3H end dipped pencil Black barrel 4's</t>
  </si>
  <si>
    <t>SM109</t>
  </si>
  <si>
    <t>Marlin Graphite pencils 2B end dipped pencil Black barrel 4's</t>
  </si>
  <si>
    <t>SM124</t>
  </si>
  <si>
    <t>Marlin Kids end dipped pencil triangular jumbo blister card 3's + sharpener</t>
  </si>
  <si>
    <t>008A</t>
  </si>
  <si>
    <t>Yellow barrel rubber-tipped pencils HB - gross (144 units)</t>
  </si>
  <si>
    <t>SM2</t>
  </si>
  <si>
    <t>Yellow barrel rubber-tipped pencils 12's HB</t>
  </si>
  <si>
    <t>SM3</t>
  </si>
  <si>
    <t>Yellow barrel rubber-tipped pencils 4's HB</t>
  </si>
  <si>
    <t>SM190</t>
  </si>
  <si>
    <t>Marlin Kids Grip Rite triangular 2B pencils 4's</t>
  </si>
  <si>
    <t>SM119</t>
  </si>
  <si>
    <t xml:space="preserve">Marlin HB Pencil Combo: 2 pencils + 1 hole m/sharpener + large eraser </t>
  </si>
  <si>
    <t>008R</t>
  </si>
  <si>
    <t>Marlin Scribblers HB rubber tipped 12's Neon</t>
  </si>
  <si>
    <t>SM125</t>
  </si>
  <si>
    <t>Marlin Scribblers HB rubber tipped 4's Neon</t>
  </si>
  <si>
    <t>008H</t>
  </si>
  <si>
    <r>
      <rPr>
        <rFont val="Play"/>
        <color theme="1"/>
        <sz val="11.0"/>
      </rPr>
      <t xml:space="preserve">Marlin HB Pencils 6's Wood Free </t>
    </r>
    <r>
      <rPr>
        <rFont val="Aptos Display"/>
        <b/>
        <color rgb="FFFF0000"/>
        <sz val="11.0"/>
      </rPr>
      <t>NEW</t>
    </r>
  </si>
  <si>
    <t>6009697796887</t>
  </si>
  <si>
    <t>008S</t>
  </si>
  <si>
    <r>
      <rPr>
        <rFont val="Play"/>
        <color theme="1"/>
        <sz val="11.0"/>
      </rPr>
      <t xml:space="preserve">Marlin Scribbler HB Rubber Tipped Pastel 12's Wood Free </t>
    </r>
    <r>
      <rPr>
        <rFont val="Aptos Display"/>
        <b/>
        <color rgb="FFFF0000"/>
        <sz val="11.0"/>
      </rPr>
      <t>NEW</t>
    </r>
  </si>
  <si>
    <t>6009697796900</t>
  </si>
  <si>
    <t>SM126</t>
  </si>
  <si>
    <r>
      <rPr>
        <rFont val="Play"/>
        <color theme="1"/>
        <sz val="11.0"/>
      </rPr>
      <t xml:space="preserve">Marlin Scribbler HB Rubber Tipped Pastel 4's Wood Free </t>
    </r>
    <r>
      <rPr>
        <rFont val="Aptos Display"/>
        <b/>
        <color rgb="FFFF0000"/>
        <sz val="11.0"/>
      </rPr>
      <t>NEW</t>
    </r>
  </si>
  <si>
    <t>6009697796924</t>
  </si>
  <si>
    <t>SM194</t>
  </si>
  <si>
    <t xml:space="preserve">Marlin Lead Liner clutch pencil &amp; lead 0.5mm 12's in tube </t>
  </si>
  <si>
    <t>SM8</t>
  </si>
  <si>
    <t>Marlin EverSharp clutch pencil &amp; lead 0.5mm 12's in tube</t>
  </si>
  <si>
    <t>SM9</t>
  </si>
  <si>
    <t>Marlin pencil leads 0.5mm 12's in tube 3 tubes</t>
  </si>
  <si>
    <t>SM188</t>
  </si>
  <si>
    <t>Neo Clickers Clutch Pencils 5's Assorted 0.5mm</t>
  </si>
  <si>
    <t>SM215</t>
  </si>
  <si>
    <t>Marlin Precision Fineliner Black</t>
  </si>
  <si>
    <t>SM216</t>
  </si>
  <si>
    <t xml:space="preserve">Marlin Precision Fineliner Blue </t>
  </si>
  <si>
    <t>SM217</t>
  </si>
  <si>
    <t xml:space="preserve">Marlin Precision Fineliner Red </t>
  </si>
  <si>
    <t>SM219</t>
  </si>
  <si>
    <t xml:space="preserve">Marlin Precision Fineliner 3's assorted - Black/Blue/Red </t>
  </si>
  <si>
    <t>SM220</t>
  </si>
  <si>
    <t>Marlin Precision Fineliner 12's assorted colours</t>
  </si>
  <si>
    <t>SM96</t>
  </si>
  <si>
    <t>Marlin Tri-gel ink pens 3's assorted 0.7mm</t>
  </si>
  <si>
    <t>SM97</t>
  </si>
  <si>
    <t>Marlin Tri-gel ink pens 3's Blue 0.7mm</t>
  </si>
  <si>
    <t>SM95</t>
  </si>
  <si>
    <t>Marlin Tri-gel ink pens 3's Black 0.7mm</t>
  </si>
  <si>
    <t>SM100</t>
  </si>
  <si>
    <t xml:space="preserve">Marlin Gel Glide Glitter Gel Pens 6's 1.0mm </t>
  </si>
  <si>
    <t>SM98</t>
  </si>
  <si>
    <t>Marlin Flash-Ink Pastel gel ink pens 6's assorted 1.0mm tip</t>
  </si>
  <si>
    <t>SM99</t>
  </si>
  <si>
    <t>Marlin Neo-Nib Neon gel ink pens 6's assorted 0.8mm tip</t>
  </si>
  <si>
    <t>SM179</t>
  </si>
  <si>
    <t>Marlin Tri-gel ink pens 2's Blue 0.7mm</t>
  </si>
  <si>
    <t>SM180</t>
  </si>
  <si>
    <t>Marlin Tri-gel ink pens 2's Black 0.7mm</t>
  </si>
  <si>
    <t>SM181</t>
  </si>
  <si>
    <t>Marlin Tri-gel ink pens 2's Red 0.7mm</t>
  </si>
  <si>
    <t>SM175</t>
  </si>
  <si>
    <t>Marlin Ultraglide Retractable pens 2's rubber grip Blue 0.7mm</t>
  </si>
  <si>
    <t>SM191</t>
  </si>
  <si>
    <t>Marlin Ultraglide Retractable pens 2's rubber grip Black 0.7mm</t>
  </si>
  <si>
    <t>SM221</t>
  </si>
  <si>
    <t xml:space="preserve">Marlin Ultraglide Black Retractable Pen 5's 0.7mm Polybag </t>
  </si>
  <si>
    <t>SM222</t>
  </si>
  <si>
    <t xml:space="preserve">Marlin Ultraglide Blue Retractable Pen 5's 0.7mm Polybag </t>
  </si>
  <si>
    <t>SM223</t>
  </si>
  <si>
    <t xml:space="preserve">Marlin Ultraglide Retractable Pen 5's Asst 0.7mm Polybag -2 Blue/2 Black/1 Red </t>
  </si>
  <si>
    <t>SM224</t>
  </si>
  <si>
    <t>Marlin Ultraglide Neon Retractable Pen 5's Asst 0.7mm In Polybag</t>
  </si>
  <si>
    <t>SM225</t>
  </si>
  <si>
    <t>Marlin Ultraglide Black Gel Ink Retractable Pen 2's 0.7mm In Polybag</t>
  </si>
  <si>
    <t>SM226</t>
  </si>
  <si>
    <t xml:space="preserve">Marlin Ultraglide Blue Gel Ink Retractable Pen 2's 0.7mm In Polybag </t>
  </si>
  <si>
    <t>032G</t>
  </si>
  <si>
    <t xml:space="preserve">Marlin Joymate medium pens 50's Blue </t>
  </si>
  <si>
    <t>032G1</t>
  </si>
  <si>
    <t>Marlin Pure Point transparent medium pens 1's Blue BULK</t>
  </si>
  <si>
    <t>6009697792018</t>
  </si>
  <si>
    <t>032H</t>
  </si>
  <si>
    <t xml:space="preserve">Marlin Joymate medium pens 50's Black </t>
  </si>
  <si>
    <t>032I</t>
  </si>
  <si>
    <t>Marlin Joymate medium pens 50's Red</t>
  </si>
  <si>
    <t>032D</t>
  </si>
  <si>
    <r>
      <rPr>
        <rFont val="Play"/>
        <color theme="1"/>
        <sz val="11.0"/>
      </rPr>
      <t xml:space="preserve">Marlin Ultra Stick 20's Blue 1.0mm </t>
    </r>
    <r>
      <rPr>
        <rFont val="Aptos Display"/>
        <b/>
        <color rgb="FFFF0000"/>
        <sz val="11.0"/>
      </rPr>
      <t>NEW</t>
    </r>
  </si>
  <si>
    <t>6009608641954</t>
  </si>
  <si>
    <t>032E</t>
  </si>
  <si>
    <r>
      <rPr>
        <rFont val="Play"/>
        <color theme="1"/>
        <sz val="11.0"/>
      </rPr>
      <t xml:space="preserve">Marlin Ultra Stick 20's Black 1.0mm </t>
    </r>
    <r>
      <rPr>
        <rFont val="Aptos Display"/>
        <b/>
        <color rgb="FFFF0000"/>
        <sz val="11.0"/>
      </rPr>
      <t>NEW</t>
    </r>
  </si>
  <si>
    <t>6009608641961</t>
  </si>
  <si>
    <t>SM1</t>
  </si>
  <si>
    <t>Marlin Joymate transparent medium point pens 10's Blue</t>
  </si>
  <si>
    <t>SM19</t>
  </si>
  <si>
    <t xml:space="preserve">Marlin Joymate transparent medium point pens 10's - 4 Blue/4 Black/2 Red </t>
  </si>
  <si>
    <t>SM37</t>
  </si>
  <si>
    <t xml:space="preserve">Marlin Joymate transparent medium point pens 10's Black </t>
  </si>
  <si>
    <t>SM128</t>
  </si>
  <si>
    <t xml:space="preserve">Marlin Joymate transparent medium point pens 10's assorted colours </t>
  </si>
  <si>
    <t>SM127</t>
  </si>
  <si>
    <t>Marlin Joymate transparent medium point pens 5's assorted colours</t>
  </si>
  <si>
    <t>SM67</t>
  </si>
  <si>
    <t xml:space="preserve">Marlin Joymate transparent medium pens 3's Red </t>
  </si>
  <si>
    <t>SM68</t>
  </si>
  <si>
    <t>Marlin Joymate transparent medium pens 3's Black</t>
  </si>
  <si>
    <t>SM69</t>
  </si>
  <si>
    <t xml:space="preserve">Marlin Joymate transparent medium pens 3's Blue </t>
  </si>
  <si>
    <t>SM70</t>
  </si>
  <si>
    <t xml:space="preserve">Marlin Joymate transparent medium pens 3's assorted </t>
  </si>
  <si>
    <t>SM227</t>
  </si>
  <si>
    <t>Marlin Topgrip Ballpoint Pens Black 2's 1.0mm In Polybag</t>
  </si>
  <si>
    <t>SM228</t>
  </si>
  <si>
    <t>Marlin Fusion Stick Pens 4's Asst 1.0mm In Polybag 2 Blue/1 Black/1 Red</t>
  </si>
  <si>
    <t>SM229</t>
  </si>
  <si>
    <t>Marlin Joymate Blue Ballpoint Pens 5's 1.0mm In Polybag</t>
  </si>
  <si>
    <t>SM230</t>
  </si>
  <si>
    <t>Marlin Joymate Black Ballpoint Pens 5's 1.0mm In Polybag</t>
  </si>
  <si>
    <t>SM61</t>
  </si>
  <si>
    <t xml:space="preserve">Marlin Master Liner ball pens 3's Blue 0.7mm </t>
  </si>
  <si>
    <t>SM62</t>
  </si>
  <si>
    <t xml:space="preserve">Marlin Master Liner ball pens 3's Black 0.7mm </t>
  </si>
  <si>
    <t>SM60</t>
  </si>
  <si>
    <r>
      <rPr>
        <rFont val="Play"/>
        <color theme="1"/>
        <sz val="11.0"/>
      </rPr>
      <t xml:space="preserve">Marlin Master Liner Ball Pens 3's Assorted 0.7mm </t>
    </r>
    <r>
      <rPr>
        <rFont val="Aptos Display"/>
        <b/>
        <color rgb="FFFF0000"/>
        <sz val="11.0"/>
      </rPr>
      <t>NEW</t>
    </r>
  </si>
  <si>
    <t>6009697796283</t>
  </si>
  <si>
    <t>SM231</t>
  </si>
  <si>
    <r>
      <rPr>
        <rFont val="Play"/>
        <color theme="1"/>
        <sz val="11.0"/>
      </rPr>
      <t xml:space="preserve">Marlin Ultron Ballpoint Black Pens 2's 1.0mm </t>
    </r>
    <r>
      <rPr>
        <rFont val="Aptos Display"/>
        <b/>
        <color rgb="FFFF0000"/>
        <sz val="11.0"/>
      </rPr>
      <t>NEW</t>
    </r>
  </si>
  <si>
    <t>6009697796306</t>
  </si>
  <si>
    <t>SM232</t>
  </si>
  <si>
    <r>
      <rPr>
        <rFont val="Play"/>
        <color theme="1"/>
        <sz val="11.0"/>
      </rPr>
      <t xml:space="preserve">Marlin Ultron Ballpoint Blue Pens 2's 1.0mm </t>
    </r>
    <r>
      <rPr>
        <rFont val="Aptos Display"/>
        <b/>
        <color rgb="FFFF0000"/>
        <sz val="11.0"/>
      </rPr>
      <t>NEW</t>
    </r>
  </si>
  <si>
    <t>6009697796320</t>
  </si>
  <si>
    <t>SM233</t>
  </si>
  <si>
    <r>
      <rPr>
        <rFont val="Play"/>
        <color theme="1"/>
        <sz val="11.0"/>
      </rPr>
      <t xml:space="preserve">Marlin Ultron Ballpoint Assorted Pens 3's 1.0mm </t>
    </r>
    <r>
      <rPr>
        <rFont val="Aptos Display"/>
        <b/>
        <color rgb="FFFF0000"/>
        <sz val="11.0"/>
      </rPr>
      <t>NEW</t>
    </r>
  </si>
  <si>
    <t>6009697796344</t>
  </si>
  <si>
    <t>SM137</t>
  </si>
  <si>
    <t>Marlin Liqui-Liners roller ball pens 0.7mm 1's Black</t>
  </si>
  <si>
    <t>SM138</t>
  </si>
  <si>
    <t xml:space="preserve">Marlin Liqui-Liners roller ball pens 0.7mm 1's Blue </t>
  </si>
  <si>
    <t>SM139</t>
  </si>
  <si>
    <t xml:space="preserve">Marlin Liqui-Liners roller ball pens 0.7mm 1's Red </t>
  </si>
  <si>
    <t>PLAY DOUGH NON-TOXIC</t>
  </si>
  <si>
    <t>051M</t>
  </si>
  <si>
    <t>Marlin Kids Play dough 1kg bucket 8 assorted colours</t>
  </si>
  <si>
    <t>051N</t>
  </si>
  <si>
    <t>Marlin Kids Play dough 200g bucket 10 assorted colours + 5 plastic moulds</t>
  </si>
  <si>
    <t>051O</t>
  </si>
  <si>
    <t>Marlin Kids Play dough tubs 4 colours x 56g each</t>
  </si>
  <si>
    <t>051P</t>
  </si>
  <si>
    <t xml:space="preserve">Marlin play dough 500g bucket 5 colour + 3 moulds </t>
  </si>
  <si>
    <t>PROJECT BOARDS: A1 (841 x 594mm)</t>
  </si>
  <si>
    <t>027I</t>
  </si>
  <si>
    <t>Marlin Project Boards A1 160gsm 100's White</t>
  </si>
  <si>
    <t>027I-ASST</t>
  </si>
  <si>
    <t>Marlin Project Boards A1 160gsm 100's Pastel assorted</t>
  </si>
  <si>
    <t>027P</t>
  </si>
  <si>
    <t>Marlin Project Boards A1 160gsm 100's Bright assorted</t>
  </si>
  <si>
    <t>PROJECT BOARDS: A2 (594 x 420mm)</t>
  </si>
  <si>
    <t>027J</t>
  </si>
  <si>
    <t>Marlin Project Boards A2 160gsm 100's White</t>
  </si>
  <si>
    <t>027J-ASST</t>
  </si>
  <si>
    <t>Marlin Project Boards A2 160gsm 100's Pastel assorted</t>
  </si>
  <si>
    <t>027O</t>
  </si>
  <si>
    <t>Marlin Project Boards A2 160gsm 100's Brights assorted</t>
  </si>
  <si>
    <t>027C-WHITES</t>
  </si>
  <si>
    <t>Marlin Project Boards A2 160gsm 5's White flat sheets</t>
  </si>
  <si>
    <t>027C-WHITE</t>
  </si>
  <si>
    <t xml:space="preserve">Marlin Project Boards A2 160gsm 5's White rolls </t>
  </si>
  <si>
    <t>027C-PASTELS</t>
  </si>
  <si>
    <t>Marlin Project Boards A2 160gsm 5's Pastel assorted rolls</t>
  </si>
  <si>
    <t>027C-BRIGHTS</t>
  </si>
  <si>
    <t>Marlin Project Boards A2 160gsm 5's Bright assorted rolls</t>
  </si>
  <si>
    <t>PROJECT BOARDS: A3 (420 x 297mm)</t>
  </si>
  <si>
    <t>027K</t>
  </si>
  <si>
    <t>Marlin Project Boards A3 160gsm 100's White</t>
  </si>
  <si>
    <t>027K-ASST</t>
  </si>
  <si>
    <t>Marlin Project Boards A3 160gsm 100's Pastel assorted</t>
  </si>
  <si>
    <t>027N</t>
  </si>
  <si>
    <t>Marlin Project Boards A3 160gsm 100's Bright assorted</t>
  </si>
  <si>
    <t>PROJECT BOARDS: A4 50 PACK</t>
  </si>
  <si>
    <t>027W</t>
  </si>
  <si>
    <t>Marlin Project Boards A4 160gsm 50's White</t>
  </si>
  <si>
    <t>027W-PASTELS</t>
  </si>
  <si>
    <t>Marlin Project Boards A4 160gsm 50's Pastel assorted</t>
  </si>
  <si>
    <t>027W-BRIGHTS</t>
  </si>
  <si>
    <t>Marlin Project Boards A4 160gsm 50's Bright assorted</t>
  </si>
  <si>
    <t xml:space="preserve">PROJECT BOARDS: A4 10 PACK </t>
  </si>
  <si>
    <t>027F-WHITE</t>
  </si>
  <si>
    <t xml:space="preserve">Marlin Project Boards A4 160gsm 10's White </t>
  </si>
  <si>
    <t>027F</t>
  </si>
  <si>
    <t>Marlin Project Boards A4 160gsm 10's Pastel Assorted</t>
  </si>
  <si>
    <t>027F-BLUE</t>
  </si>
  <si>
    <t>Marlin Project Boards A4 160gsm 10's Pastel Blue</t>
  </si>
  <si>
    <t>027F-BUFF</t>
  </si>
  <si>
    <t>Marlin Project Boards A4 160gsm 10's Pastel buff</t>
  </si>
  <si>
    <t>027F-GREEN</t>
  </si>
  <si>
    <t>Marlin Project Boards A4 160gsm 10's Pastel Green</t>
  </si>
  <si>
    <t>027F-PINK</t>
  </si>
  <si>
    <t>Marlin Project Boards A4 160gsm 10's Pastel Pink</t>
  </si>
  <si>
    <t>027F-YELLOW</t>
  </si>
  <si>
    <t>Marlin Project Boards A4 160gsm 10's Pastel Yellow</t>
  </si>
  <si>
    <t>027G</t>
  </si>
  <si>
    <t>Marlin Project Boards A4 160gsm 10's Bright Assorted</t>
  </si>
  <si>
    <t>027G-BLUE</t>
  </si>
  <si>
    <t>Marlin Project Boards A4 160gsm 10's Bright Blue</t>
  </si>
  <si>
    <t>027G-GREEN</t>
  </si>
  <si>
    <t>Marlin Project Boards A4 160gsm 10's Bright Green</t>
  </si>
  <si>
    <t>027G-ORANGE</t>
  </si>
  <si>
    <t>Marlin Project Boards A4 160gsm 10's Bright Orange</t>
  </si>
  <si>
    <t>027G-RED</t>
  </si>
  <si>
    <t>Marlin Project Boards A4 160gsm 10's Bright Red</t>
  </si>
  <si>
    <t>027G-YELLOW</t>
  </si>
  <si>
    <t>Marlin Project Boards A4 160gsm 10's Bright Yellow</t>
  </si>
  <si>
    <t xml:space="preserve">PROJECT BOARDS: A4 100 PACK </t>
  </si>
  <si>
    <t>027L</t>
  </si>
  <si>
    <t>Marlin Project Boards A4 160gsm 100's White</t>
  </si>
  <si>
    <t>027L-ASST</t>
  </si>
  <si>
    <t>Marlin Project Boards A4 160gsm 100's Pastel Assorted</t>
  </si>
  <si>
    <t>027L-BLU</t>
  </si>
  <si>
    <t>Marlin Project Boards A4 160gsm 100's Pastel Blue</t>
  </si>
  <si>
    <t>027L-BUFF</t>
  </si>
  <si>
    <t>Marlin Project Boards A4 160gsm 100's Pastel Buff</t>
  </si>
  <si>
    <t>027L-GRN</t>
  </si>
  <si>
    <t>Marlin Project Boards A4 160gsm 100's Pastel Green</t>
  </si>
  <si>
    <t>027L-PINK</t>
  </si>
  <si>
    <t>Marlin Project Boards A4 160gsm 100's Pastel Pink</t>
  </si>
  <si>
    <t>027L-YEL</t>
  </si>
  <si>
    <t>Marlin Project Boards A4 160gsm 100's Pastel Yellow</t>
  </si>
  <si>
    <t>027M</t>
  </si>
  <si>
    <t>Marlin Project Boards A4 160gsm 100's Bright Assorted</t>
  </si>
  <si>
    <t>027M-BR.BLUE</t>
  </si>
  <si>
    <t>Marlin Project Boards A4 160gsm 100's Bright Blue</t>
  </si>
  <si>
    <t>027M-BR.GREEN</t>
  </si>
  <si>
    <t>Marlin Project Boards A4 160gsm 100's Bright Green</t>
  </si>
  <si>
    <t>027M-BR.ORANGE</t>
  </si>
  <si>
    <t>Marlin Project Boards A4 160gsm 100's Bright Orange</t>
  </si>
  <si>
    <t>027M-BR.RED</t>
  </si>
  <si>
    <t>Marlin Project Boards A4 160gsm 100's Bright Red</t>
  </si>
  <si>
    <t>027M-BR.YELLOW</t>
  </si>
  <si>
    <t>Marlin Project Boards A4 160gsm 100's Bright Yellow</t>
  </si>
  <si>
    <t>PROJECT BOARD PADS A4</t>
  </si>
  <si>
    <t>027V</t>
  </si>
  <si>
    <t xml:space="preserve">Marlin Project Board pad A4 25 sheets 160gsm Pastel assorted </t>
  </si>
  <si>
    <t>027T</t>
  </si>
  <si>
    <t>Marlin Project Board pad A4 25 sheets 160gsm Bright assorted</t>
  </si>
  <si>
    <t>027H</t>
  </si>
  <si>
    <t>Marlin Project Board pad A4 25 sheets 150gsm White</t>
  </si>
  <si>
    <t>PROJECT PAPER A4</t>
  </si>
  <si>
    <t>027Z</t>
  </si>
  <si>
    <t xml:space="preserve">Marlin paper A4 80gsm 100's White </t>
  </si>
  <si>
    <t>027Q</t>
  </si>
  <si>
    <t>Marlin paper A4 80gsm 100's Pastel assorted</t>
  </si>
  <si>
    <t>027R</t>
  </si>
  <si>
    <t>Marlin paper A4 80gsm 100's Bright assorted</t>
  </si>
  <si>
    <t>PROJECT PAPER PADS A4</t>
  </si>
  <si>
    <t>027U</t>
  </si>
  <si>
    <t>Marlin A4 paper pad 50 sheets 80gsm Pastel assorted</t>
  </si>
  <si>
    <t>027S</t>
  </si>
  <si>
    <t>Marlin A4 paper pad 50 sheets 80gsm Bright assorted</t>
  </si>
  <si>
    <t>012E</t>
  </si>
  <si>
    <t>Marlin school punch 2 hole</t>
  </si>
  <si>
    <t>012C</t>
  </si>
  <si>
    <t>Marlin punch 20 pages with guide</t>
  </si>
  <si>
    <t>012F</t>
  </si>
  <si>
    <t>Marlin Office Essentials punch 60 pages with metal guide</t>
  </si>
  <si>
    <t>033A</t>
  </si>
  <si>
    <t>Edo/Marlin rulers 30cm 10's assorted colours 17g</t>
  </si>
  <si>
    <t>033I</t>
  </si>
  <si>
    <t>Edo rulers 30cm 10's Black 17g</t>
  </si>
  <si>
    <t>033F</t>
  </si>
  <si>
    <t>Edo/Marlin rulers 30cm 10's clear 17g</t>
  </si>
  <si>
    <t>033E</t>
  </si>
  <si>
    <t>Marlin finger grip rulers 30cm 21g</t>
  </si>
  <si>
    <t>033L</t>
  </si>
  <si>
    <t>Marlin Flexible rulers 30cm 4 assorted colours Blue, Green, Pink &amp; Yellow</t>
  </si>
  <si>
    <t>033C</t>
  </si>
  <si>
    <r>
      <rPr>
        <rFont val="Play"/>
        <color theme="1"/>
        <sz val="11.0"/>
      </rPr>
      <t xml:space="preserve">Marlin Neon Rulers 10's 19g assorted </t>
    </r>
    <r>
      <rPr>
        <rFont val="Aptos Display"/>
        <b/>
        <color rgb="FFFF0000"/>
        <sz val="11.0"/>
      </rPr>
      <t>NEW</t>
    </r>
  </si>
  <si>
    <t>SCISSORS - STAINLESS STEEL WITH PLASTIC HANDLES (sizes may vary)</t>
  </si>
  <si>
    <t>011C</t>
  </si>
  <si>
    <t>Marlin Kids scissors blunt nose 130mm try-me card</t>
  </si>
  <si>
    <t>011C-1</t>
  </si>
  <si>
    <t xml:space="preserve">Cool 4 School scissors blunt nose 130mm polybag no header card </t>
  </si>
  <si>
    <t>011I</t>
  </si>
  <si>
    <t>Marlin Kids scissors blunt nose 130mm neon glitter jelly handle</t>
  </si>
  <si>
    <t>011B</t>
  </si>
  <si>
    <t>Marlin Kids scissors 130mm printed design</t>
  </si>
  <si>
    <t>011H</t>
  </si>
  <si>
    <t>Marlin Kids scissors fun cut 130mm 2 assorted cuts - 1 cut / pack</t>
  </si>
  <si>
    <t>011Q</t>
  </si>
  <si>
    <t>Marlin Kids scissors beginners 135mm</t>
  </si>
  <si>
    <t>011Y</t>
  </si>
  <si>
    <t>Marlin Kids scissors with training spring 135mm in assorted Blue &amp; Pink</t>
  </si>
  <si>
    <t>011X</t>
  </si>
  <si>
    <t>Marlin Kids scissors 2-tone165mm</t>
  </si>
  <si>
    <t>011F</t>
  </si>
  <si>
    <t xml:space="preserve">Marlin Kids Training Scissors 169mm </t>
  </si>
  <si>
    <t>011J</t>
  </si>
  <si>
    <t>Marlin scissors left handed 165mm</t>
  </si>
  <si>
    <t>011D</t>
  </si>
  <si>
    <t>Marlin scissors large 165mm</t>
  </si>
  <si>
    <t>011K</t>
  </si>
  <si>
    <t>Marlin scissors Orange handle 210mm</t>
  </si>
  <si>
    <t>011R</t>
  </si>
  <si>
    <t>Marlin scissors Amber / Purple / Blue 210mm</t>
  </si>
  <si>
    <t>005A</t>
  </si>
  <si>
    <t>Marlin plastic sharpeners 24's 1 hole</t>
  </si>
  <si>
    <t>005B</t>
  </si>
  <si>
    <t>Marlin metal sharpeners 24's 1 hole</t>
  </si>
  <si>
    <t>005C</t>
  </si>
  <si>
    <t>Marlin plastic sharpeners 24's 1 hole with container for shavings</t>
  </si>
  <si>
    <t>005G</t>
  </si>
  <si>
    <t>Marlin metal sharpeners 24's 2 hole</t>
  </si>
  <si>
    <t>SM118</t>
  </si>
  <si>
    <t>Marlin metal sharpeners 1 hole 5's blister card VALUE PACK</t>
  </si>
  <si>
    <t>SM7</t>
  </si>
  <si>
    <t xml:space="preserve">Marlin metal sharpener 2 hole </t>
  </si>
  <si>
    <t>SM116</t>
  </si>
  <si>
    <t xml:space="preserve">Marlin Kids sharpener 2 hole round shape assorted colours with container </t>
  </si>
  <si>
    <t>Marlin eraser 3 pack 60 x 20 x 10mm + 2 hole sharpener with container</t>
  </si>
  <si>
    <t>SM15</t>
  </si>
  <si>
    <t>Marlin metal sharpener 1's 1 hole</t>
  </si>
  <si>
    <t>SM26</t>
  </si>
  <si>
    <t>Marlin plastic sharpener 1's 1 hole with container for shavings</t>
  </si>
  <si>
    <t>SM39</t>
  </si>
  <si>
    <t xml:space="preserve">Marlin Kids plastic sharpener stand up Smiley face 1 hole container </t>
  </si>
  <si>
    <t>SM40</t>
  </si>
  <si>
    <t xml:space="preserve">Marlin Kids plastic airship sharpener 1 hole + eraser </t>
  </si>
  <si>
    <t>SM6</t>
  </si>
  <si>
    <t>Marlin plastic sharpener 2 hole assorted colours</t>
  </si>
  <si>
    <t>005D</t>
  </si>
  <si>
    <t>Marlin desktop sharpener metal &amp; plastic in pvc box</t>
  </si>
  <si>
    <t>SM144</t>
  </si>
  <si>
    <t xml:space="preserve">Marlin 2 hole plastic Sharpener + Container </t>
  </si>
  <si>
    <t>SM48</t>
  </si>
  <si>
    <t xml:space="preserve">Marlin stand up 2 hole sharpener </t>
  </si>
  <si>
    <t>SM148</t>
  </si>
  <si>
    <r>
      <rPr>
        <rFont val="Play"/>
        <color theme="1"/>
        <sz val="11.0"/>
      </rPr>
      <t xml:space="preserve">Marlin Kids 2 Hole Sharpener + Canister </t>
    </r>
    <r>
      <rPr>
        <rFont val="Aptos Display"/>
        <b/>
        <color rgb="FFFF0000"/>
        <sz val="11.0"/>
      </rPr>
      <t>NEW</t>
    </r>
  </si>
  <si>
    <t>6009697796818</t>
  </si>
  <si>
    <r>
      <rPr>
        <rFont val="Play"/>
        <color theme="1"/>
        <sz val="11.0"/>
      </rPr>
      <t xml:space="preserve">Marlin Kids Duo Eraser &amp; 1 Hole Sharpener Canister </t>
    </r>
    <r>
      <rPr>
        <rFont val="Aptos Display"/>
        <b/>
        <color rgb="FFFF0000"/>
        <sz val="11.0"/>
      </rPr>
      <t>NEW</t>
    </r>
  </si>
  <si>
    <t>013E</t>
  </si>
  <si>
    <t>Marlin Office Essentials Staples 5000's 26/6</t>
  </si>
  <si>
    <t>013H</t>
  </si>
  <si>
    <t>Marlin Office Essentials Staples 1000's 23/13</t>
  </si>
  <si>
    <t>013L</t>
  </si>
  <si>
    <t xml:space="preserve">Marlin Office Essentials Plastic Stapler 26/6 </t>
  </si>
  <si>
    <t>SM89</t>
  </si>
  <si>
    <t xml:space="preserve">Marlin Office Essentials Mini Stapler with built-in staple remover &amp; staples </t>
  </si>
  <si>
    <t>SM90</t>
  </si>
  <si>
    <t>Marlin Office Essentials staple remover blister card assorted colours</t>
  </si>
  <si>
    <t>013A</t>
  </si>
  <si>
    <t>Marlin Office Essentials Metal ½ strip stapler 26/6</t>
  </si>
  <si>
    <t>013B</t>
  </si>
  <si>
    <t>Marlin Office Essentials Metal full strip stapler 26/6</t>
  </si>
  <si>
    <t>013G</t>
  </si>
  <si>
    <t>Marlin Office Essentials Heavy Duty Stapler 100 pages</t>
  </si>
  <si>
    <t>SM85</t>
  </si>
  <si>
    <t>Marlin 30cm ruler kit (6 piece): 30cm ruler, rubbertipped pencil, eraser, sharpener, Black &amp; Blue pens</t>
  </si>
  <si>
    <t>STA001</t>
  </si>
  <si>
    <t>Marlin stationery set 5 piece - ruler, rubbertipped pencil, eraser, sharpener, Blue pen</t>
  </si>
  <si>
    <t>019E</t>
  </si>
  <si>
    <t>Marlin capital letter stencil with ruler marking</t>
  </si>
  <si>
    <t>028H</t>
  </si>
  <si>
    <t>Marlin self adhesive labels - 180 Gold stars</t>
  </si>
  <si>
    <t>028I</t>
  </si>
  <si>
    <t xml:space="preserve">Marlin self adhesive labels - 180 Silver stars   </t>
  </si>
  <si>
    <t>028J</t>
  </si>
  <si>
    <t xml:space="preserve">Marlin self adhesive labels - 240 x 5 colour stars Gold, Silver, Red, Blue, Green </t>
  </si>
  <si>
    <t>028K</t>
  </si>
  <si>
    <t xml:space="preserve">Marlin self adhesive labels - 384 assorted Smiley faces stickers </t>
  </si>
  <si>
    <t>028L</t>
  </si>
  <si>
    <t>Marlin self adhesive labels - 136 assorted "WELL DONE" stickers</t>
  </si>
  <si>
    <t>SM280</t>
  </si>
  <si>
    <t>Marlin Office Essentials Sticky Note pad 76 x 76mm 100 sheets Pastel Yellow</t>
  </si>
  <si>
    <t>SM281</t>
  </si>
  <si>
    <t>Marlin Office Essentials Sticky Note pad 38 x 38mm 100 sheets x 4 Pastel cols</t>
  </si>
  <si>
    <t>SM282</t>
  </si>
  <si>
    <t xml:space="preserve">Marlin Office Essentials Sticky Note pad 76 x 76mm 100 sheets Pastel colours  </t>
  </si>
  <si>
    <t>SM283</t>
  </si>
  <si>
    <t xml:space="preserve">Marlin Office Essentials Sticky Note pad 76 x 76mm 100 sheets Neon colours </t>
  </si>
  <si>
    <t>SM284</t>
  </si>
  <si>
    <t xml:space="preserve">Marlin Office Essentials Sticky Note Arrows 12 x 42mm 125 Neon colours </t>
  </si>
  <si>
    <t>028M</t>
  </si>
  <si>
    <t>Marlin Office Essentials Sticky Note pad 38 x 51mm 8 x 100 sheets cube Green/Pink/Orange/Yellow</t>
  </si>
  <si>
    <t>030A</t>
  </si>
  <si>
    <t>Marlin clear tape 12mm x 33m 12's</t>
  </si>
  <si>
    <t>030F</t>
  </si>
  <si>
    <t xml:space="preserve">Marlin clear tape 12mm x 33m 1's </t>
  </si>
  <si>
    <t>030D</t>
  </si>
  <si>
    <t>Marlin brown tape 48mm x 40m 1's</t>
  </si>
  <si>
    <t>030I</t>
  </si>
  <si>
    <t>Marlin clear tape 48mm x 40m 1's</t>
  </si>
  <si>
    <t>030H</t>
  </si>
  <si>
    <t xml:space="preserve">Marlin double sided tape 18mm x 10m </t>
  </si>
  <si>
    <t>030J</t>
  </si>
  <si>
    <t>Marlin Masking tape 19mm x 50m</t>
  </si>
  <si>
    <t>030K</t>
  </si>
  <si>
    <t xml:space="preserve">Marlin snail tape with dispenser crystal clear 18mm x 33m x 38micron </t>
  </si>
  <si>
    <t>030L</t>
  </si>
  <si>
    <t>Marlin snail tape with dispenser invisible 18mm x 25m x 38micron</t>
  </si>
  <si>
    <t>WHITEBOARD &amp; ACCESSORIES</t>
  </si>
  <si>
    <t>034J</t>
  </si>
  <si>
    <r>
      <rPr>
        <rFont val="Play"/>
        <color theme="1"/>
        <sz val="11.0"/>
      </rPr>
      <t>Marlin A4 Whiteboard one sided</t>
    </r>
    <r>
      <rPr>
        <rFont val="Aptos Display"/>
        <b/>
        <color theme="1"/>
        <sz val="11.0"/>
      </rPr>
      <t xml:space="preserve"> </t>
    </r>
    <r>
      <rPr>
        <rFont val="Aptos Display"/>
        <b/>
        <color rgb="FFFF0000"/>
        <sz val="11.0"/>
      </rPr>
      <t>NEW</t>
    </r>
  </si>
  <si>
    <t>SM202</t>
  </si>
  <si>
    <t>Marlin Office Essentials White Board 60 x 90cm + Black &amp; Blue White Board Markers + Magnetic Eraser + 2 Magnetic Buttons</t>
  </si>
  <si>
    <t>SM189</t>
  </si>
  <si>
    <t>Marlin Smart-Marker White Board Markers 1's Black</t>
  </si>
  <si>
    <t>SM198</t>
  </si>
  <si>
    <t>Marlin Smart-Marker White Board Markers 4's asst - Black/Blue/Red/Green</t>
  </si>
  <si>
    <t>SM200</t>
  </si>
  <si>
    <t>Marlin White Board duster 1's</t>
  </si>
  <si>
    <t>SM201</t>
  </si>
  <si>
    <t>Marlin Magnetic Buttons 6's assorted colours</t>
  </si>
  <si>
    <t>SM195</t>
  </si>
  <si>
    <t xml:space="preserve">Marlin Whiteboard Marker 2's Blue &amp; Black </t>
  </si>
  <si>
    <t>SM196</t>
  </si>
  <si>
    <t>Marlin Whiteboard Marker 4'S (Blue, Black, Green, Red)</t>
  </si>
  <si>
    <t>SM204</t>
  </si>
  <si>
    <r>
      <rPr>
        <rFont val="Play"/>
        <color theme="1"/>
        <sz val="11.0"/>
      </rPr>
      <t xml:space="preserve">Marlin White Board Markers 10's Assorted Colours Bullet point </t>
    </r>
    <r>
      <rPr>
        <rFont val="Aptos Display"/>
        <b/>
        <color rgb="FFFF0000"/>
        <sz val="11.0"/>
      </rPr>
      <t>NEW</t>
    </r>
  </si>
  <si>
    <t>6009697796948</t>
  </si>
  <si>
    <t>PRICES EFFECTIVE FROM 1 SEPTEMBER 2024, V.A.T. EXCLUDED. Subject to change.</t>
  </si>
  <si>
    <t>DISPLAY BOOKS - SOFT COVER - POLYPROPYLENE</t>
  </si>
  <si>
    <t>8010</t>
  </si>
  <si>
    <t xml:space="preserve">Marlin Uni-File Display Books 10 pocket  </t>
  </si>
  <si>
    <t>8020</t>
  </si>
  <si>
    <t xml:space="preserve">Marlin Uni-File Display Books 20 pocket  </t>
  </si>
  <si>
    <t>8020S</t>
  </si>
  <si>
    <t>Marlin Uni-File Display Books 20 pocket Sealed in display boxes</t>
  </si>
  <si>
    <t>8030</t>
  </si>
  <si>
    <t xml:space="preserve">Marlin Uni-File Display Books 30 pocket  </t>
  </si>
  <si>
    <t>8030S</t>
  </si>
  <si>
    <t xml:space="preserve">Marlin Uni-File Display Books 30 pocket Sealed in display boxes </t>
  </si>
  <si>
    <t>8050</t>
  </si>
  <si>
    <t xml:space="preserve">Marlin Uni-File Display Books 50 pocket  </t>
  </si>
  <si>
    <t>8050S</t>
  </si>
  <si>
    <t xml:space="preserve">Marlin Uni-File Display Books 50 pocket Sealed in display boxes  </t>
  </si>
  <si>
    <t>DISPLAY BOOKS - SOFT COVER - POLYETHYLENE (LD)</t>
  </si>
  <si>
    <t>8010-FF</t>
  </si>
  <si>
    <r>
      <rPr>
        <rFont val="Play"/>
        <color theme="1"/>
        <sz val="11.0"/>
      </rPr>
      <t xml:space="preserve">FIREFLY Display Books 10 pocket </t>
    </r>
    <r>
      <rPr>
        <rFont val="Aptos Display"/>
        <b/>
        <color rgb="FFFF0000"/>
        <sz val="11.0"/>
      </rPr>
      <t>NEW</t>
    </r>
  </si>
  <si>
    <t>8020-FF</t>
  </si>
  <si>
    <r>
      <rPr>
        <rFont val="Play"/>
        <color theme="1"/>
        <sz val="11.0"/>
      </rPr>
      <t xml:space="preserve">FIREFLY Display Books 20 pocket </t>
    </r>
    <r>
      <rPr>
        <rFont val="Aptos Display"/>
        <b/>
        <color rgb="FFFF0000"/>
        <sz val="11.0"/>
      </rPr>
      <t>NEW</t>
    </r>
  </si>
  <si>
    <t>8030-FF</t>
  </si>
  <si>
    <r>
      <rPr>
        <rFont val="Play"/>
        <color theme="1"/>
        <sz val="11.0"/>
      </rPr>
      <t xml:space="preserve">FIREFLY Display Books 30 pocket </t>
    </r>
    <r>
      <rPr>
        <rFont val="Aptos Display"/>
        <b/>
        <color rgb="FFFF0000"/>
        <sz val="11.0"/>
      </rPr>
      <t>NEW</t>
    </r>
  </si>
  <si>
    <t>8050-FF</t>
  </si>
  <si>
    <r>
      <rPr>
        <rFont val="Play"/>
        <color theme="1"/>
        <sz val="11.0"/>
      </rPr>
      <t xml:space="preserve">FIREFLY Display Books 50 pocket </t>
    </r>
    <r>
      <rPr>
        <rFont val="Aptos Display"/>
        <b/>
        <color rgb="FFFF0000"/>
        <sz val="11.0"/>
      </rPr>
      <t>NEW</t>
    </r>
  </si>
  <si>
    <t>DOCUMENT FOLDERS / FILES - POLY-PROP</t>
  </si>
  <si>
    <t>015G</t>
  </si>
  <si>
    <t>Marlin quotation folders : Assorted Colours</t>
  </si>
  <si>
    <t>015G-BLACK</t>
  </si>
  <si>
    <t>Marlin quotation folders: Black</t>
  </si>
  <si>
    <t>015G-BLUE</t>
  </si>
  <si>
    <t>Marlin quotation folders : Blue</t>
  </si>
  <si>
    <t>015G-GREEN</t>
  </si>
  <si>
    <t>Marlin quotation folders : Green</t>
  </si>
  <si>
    <t>015G-GREY</t>
  </si>
  <si>
    <t>Marlin quotation folders : Grey</t>
  </si>
  <si>
    <t>015G-ORANGE</t>
  </si>
  <si>
    <t>Marlin quotation folders : Orange</t>
  </si>
  <si>
    <t>015G-RED</t>
  </si>
  <si>
    <t>Marlin quotation folders : Red</t>
  </si>
  <si>
    <t>015G-YELLOW</t>
  </si>
  <si>
    <t>Marlin quotation folders : Yellow</t>
  </si>
  <si>
    <t>015G-PASTELS</t>
  </si>
  <si>
    <r>
      <rPr>
        <rFont val="Play"/>
        <color theme="1"/>
        <sz val="11.0"/>
      </rPr>
      <t xml:space="preserve">Marlin quotation folders : Assorted Pastel Colours </t>
    </r>
    <r>
      <rPr>
        <rFont val="Aptos Display"/>
        <b/>
        <color rgb="FFFF0000"/>
        <sz val="11.0"/>
      </rPr>
      <t>NEW</t>
    </r>
  </si>
  <si>
    <t>020O</t>
  </si>
  <si>
    <t xml:space="preserve">Marlin carry folders (A4+) assorted colours: 1 colour / pk </t>
  </si>
  <si>
    <t>020O-ASST</t>
  </si>
  <si>
    <r>
      <rPr>
        <rFont val="Play"/>
        <color theme="1"/>
        <sz val="11.0"/>
      </rPr>
      <t>Marlin carry folders (A4+) assorted colours per pack</t>
    </r>
    <r>
      <rPr>
        <rFont val="Aptos Display"/>
        <b/>
        <color rgb="FFFF0000"/>
        <sz val="11.0"/>
      </rPr>
      <t xml:space="preserve"> </t>
    </r>
  </si>
  <si>
    <t>020O-BLUE</t>
  </si>
  <si>
    <t>Marlin carry folders (A4+): Blue</t>
  </si>
  <si>
    <t>020O-CLEAR</t>
  </si>
  <si>
    <t>Marlin carry folders (A4+): Clear</t>
  </si>
  <si>
    <t>020O-GREEN</t>
  </si>
  <si>
    <t>Marlin carry folders (A4+): Green</t>
  </si>
  <si>
    <t>020O-PINK</t>
  </si>
  <si>
    <t>Marlin carry folders (A4+): Pink</t>
  </si>
  <si>
    <t>020O-RED</t>
  </si>
  <si>
    <t>Marlin carry folders (A4+): Red</t>
  </si>
  <si>
    <t>020O-YELLOW</t>
  </si>
  <si>
    <t>Marlin carry folders (A4+): Yellow</t>
  </si>
  <si>
    <t>020O-PASTELS</t>
  </si>
  <si>
    <r>
      <rPr>
        <rFont val="Play"/>
        <color theme="1"/>
        <sz val="11.0"/>
      </rPr>
      <t xml:space="preserve">Marlin carry folders A4+ assorted PASTEL colours per pack </t>
    </r>
    <r>
      <rPr>
        <rFont val="Aptos Display"/>
        <b/>
        <color rgb="FFFF0000"/>
        <sz val="11.0"/>
      </rPr>
      <t>NEW</t>
    </r>
  </si>
  <si>
    <t>020Z</t>
  </si>
  <si>
    <t>Marlin presentation / portfolio files assorted colours</t>
  </si>
  <si>
    <t>020Y</t>
  </si>
  <si>
    <t>Marlin A4 slide binders / presentation folders 1's assorted colours</t>
  </si>
  <si>
    <t>040C</t>
  </si>
  <si>
    <t>Marlin Multipunch Pockets 10's 40 microns</t>
  </si>
  <si>
    <t>040D</t>
  </si>
  <si>
    <t>Marlin Multipunch Pockets 100's 40 microns</t>
  </si>
  <si>
    <t>040F</t>
  </si>
  <si>
    <t>Marlin Office Essentials Laminating Pouches A4 100's 75 microns</t>
  </si>
  <si>
    <t>FILES</t>
  </si>
  <si>
    <t>015O</t>
  </si>
  <si>
    <t>Ringbinder budget/trunk board assorted colours</t>
  </si>
  <si>
    <t>015O-BLK</t>
  </si>
  <si>
    <t>Ringbinder budget/trunk board: Black</t>
  </si>
  <si>
    <t>015O-BLU</t>
  </si>
  <si>
    <t>Ringbinder budget/trunk board: Royal Blue</t>
  </si>
  <si>
    <t>015O-GRN</t>
  </si>
  <si>
    <t>Ringbinder budget/trunk board: Green</t>
  </si>
  <si>
    <t>015O-RED</t>
  </si>
  <si>
    <t>Ringbinder budget/trunk board: Red</t>
  </si>
  <si>
    <t>015L</t>
  </si>
  <si>
    <t xml:space="preserve">Ringbinder Assorted In-House designs </t>
  </si>
  <si>
    <t>015Y-BLACK</t>
  </si>
  <si>
    <t>Ringbinder PP (Case made not welded): Black</t>
  </si>
  <si>
    <t>015Y-GREEN</t>
  </si>
  <si>
    <t>Ringbinder PP (Case made not welded): Green</t>
  </si>
  <si>
    <t>015Y-RED</t>
  </si>
  <si>
    <t>Ringbinder PP (Case made not welded): Red</t>
  </si>
  <si>
    <t>015Q</t>
  </si>
  <si>
    <t xml:space="preserve">Lever arch file budget/trunk board plastic compressor: Assorted colours </t>
  </si>
  <si>
    <t>015P</t>
  </si>
  <si>
    <t>Lever arch file assorted In-House designs</t>
  </si>
  <si>
    <t>015M</t>
  </si>
  <si>
    <t>Lever arch file Black Mottle - plastic compressor only</t>
  </si>
  <si>
    <t>015W</t>
  </si>
  <si>
    <t>Lever arch file Black Mottle - metal compressor only</t>
  </si>
  <si>
    <t>015F</t>
  </si>
  <si>
    <t>Lever arch file Black Mottle - metal compressor + Rado clip</t>
  </si>
  <si>
    <t>015N</t>
  </si>
  <si>
    <t>Lever arch file Black Mottle mini - plastic compressor only</t>
  </si>
  <si>
    <t xml:space="preserve">PRICES ON PERSONALIZED FILES ARE AVAILABLE ON REQUEST </t>
  </si>
  <si>
    <t>FILE DIVIDERS / INDEXES - 160gsm BRIGHT BOARD</t>
  </si>
  <si>
    <t>020R</t>
  </si>
  <si>
    <t>Marlin File dividers / indexes 160gsm Bright board: 5 position</t>
  </si>
  <si>
    <t>020S</t>
  </si>
  <si>
    <t>Marlin File dividers / indexes 160gsm Bright board: 10 position</t>
  </si>
  <si>
    <t>020T</t>
  </si>
  <si>
    <t>Marlin File dividers / indexes 160gsm Bright board: Jan. to Dec.</t>
  </si>
  <si>
    <t>020U</t>
  </si>
  <si>
    <t>Marlin File dividers / indexes 160gsm Bright board: A to Z 16 position</t>
  </si>
  <si>
    <t>020V</t>
  </si>
  <si>
    <t>Marlin File dividers / indexes 160gsm Bright board: 1 to 31</t>
  </si>
  <si>
    <t>FILE DIVIDERS / INDEXES - 160gsm PASTEL BOARD</t>
  </si>
  <si>
    <t>020G</t>
  </si>
  <si>
    <t>Marlin File dividers / indexes 160gsm Pastel Board: 5 position</t>
  </si>
  <si>
    <t>020H</t>
  </si>
  <si>
    <t>Marlin File dividers / indexes 160gsm Pastel Board: 10 position</t>
  </si>
  <si>
    <t>020I</t>
  </si>
  <si>
    <t>Marlin File dividers / indexes 160gsm Pastel Board: Jan. to Dec.</t>
  </si>
  <si>
    <t>020J</t>
  </si>
  <si>
    <t>Marlin File dividers / indexes 160gsm Pastel Board: A to Z 16 position</t>
  </si>
  <si>
    <t>020K</t>
  </si>
  <si>
    <t>Marlin File dividers / indexes 160gsm Pastel Board: 1 to 31</t>
  </si>
  <si>
    <t xml:space="preserve">FILE DIVIDERS / INDEXES - POLY-PROP </t>
  </si>
  <si>
    <t>015B</t>
  </si>
  <si>
    <t>Marlin File dividers / indexes Polyprop: 5 position</t>
  </si>
  <si>
    <t>015C</t>
  </si>
  <si>
    <t>Marlin File dividers / indexes Polyprop: 10 position</t>
  </si>
  <si>
    <t>020D</t>
  </si>
  <si>
    <t>Marlin File dividers / indexes Polyprop: Jan. to Dec.</t>
  </si>
  <si>
    <t>020E</t>
  </si>
  <si>
    <t>Marlin File dividers / indexes Polyprop: A to Z 16 position</t>
  </si>
  <si>
    <t>020F</t>
  </si>
  <si>
    <t>Marlin File dividers / indexes Polyprop: 1 to 31</t>
  </si>
  <si>
    <t>020A</t>
  </si>
  <si>
    <t>Marlin File dividers / indexes Polyprop: 10 position printed 1-10</t>
  </si>
  <si>
    <t>020B</t>
  </si>
  <si>
    <t xml:space="preserve">Marlin File dividers / indexes Polyprop: 12 position printed 1-12 </t>
  </si>
  <si>
    <t>9266-BLUE</t>
  </si>
  <si>
    <t>Flat files / folders Foolscap Tag 100's Blue</t>
  </si>
  <si>
    <t>9266-GREEN</t>
  </si>
  <si>
    <t>Flat files / folders Foolscap Tag 100's Green</t>
  </si>
  <si>
    <t>9266-PINK</t>
  </si>
  <si>
    <t>Flat files / folders Foolscap Tag 100's Pink</t>
  </si>
  <si>
    <t>9266-YELLOW</t>
  </si>
  <si>
    <t>Flat files / folders Foolscap Tag 100's Yellow</t>
  </si>
  <si>
    <t>050A</t>
  </si>
  <si>
    <t>Marlin file fasteners metal 50’s 8cm</t>
  </si>
  <si>
    <t>020L</t>
  </si>
  <si>
    <t>Marlin A4 Expanding File 13 compartments no handle Neon colours</t>
  </si>
  <si>
    <t>020C</t>
  </si>
  <si>
    <t>Marlin Expanding Carry Folder, Foolscap, 6 Colour</t>
  </si>
  <si>
    <t>001G</t>
  </si>
  <si>
    <t>Marlin Brown Kraft rolls 480mm x 1.5m banded (CASE of 200)</t>
  </si>
  <si>
    <t>001G-100</t>
  </si>
  <si>
    <t>Marlin Brown Kraft rolls 480mm x 1.5m banded (CASE of 100)</t>
  </si>
  <si>
    <t>001H</t>
  </si>
  <si>
    <t>Marlin Brown Kraft rolls 480mm x 2m banded</t>
  </si>
  <si>
    <t>001I</t>
  </si>
  <si>
    <t>Marlin Brown Kraft rolls 480mm x 3m banded</t>
  </si>
  <si>
    <t>001J</t>
  </si>
  <si>
    <t>Marlin Brown Kraft rolls 480mm x 5m banded</t>
  </si>
  <si>
    <t>001G-5PK</t>
  </si>
  <si>
    <r>
      <rPr>
        <rFont val="Play"/>
        <color theme="1"/>
        <sz val="11.0"/>
      </rPr>
      <t>Marlin Brown Kraft rolls 480mm x 1.2m: 5 PACK</t>
    </r>
    <r>
      <rPr>
        <rFont val="Aptos Display"/>
        <b/>
        <color rgb="FFFF0000"/>
        <sz val="11.0"/>
      </rPr>
      <t xml:space="preserve"> </t>
    </r>
  </si>
  <si>
    <t>001P-100</t>
  </si>
  <si>
    <t>Marlin Colour Kraft rolls 480mm x 1m (Individually wrapped)</t>
  </si>
  <si>
    <t>002W</t>
  </si>
  <si>
    <t>Marlin Colour Kraft rolls 480mm x 1m: 5 PACK</t>
  </si>
  <si>
    <t>001N</t>
  </si>
  <si>
    <t>Marlin Colour Kraft rolls 480mm x 2m (Individually wrapped)</t>
  </si>
  <si>
    <t>002V</t>
  </si>
  <si>
    <t>Marlin Colour Kraft Rolls 480mm x 5m (Individually wrapped)</t>
  </si>
  <si>
    <t>NEW</t>
  </si>
  <si>
    <r>
      <rPr>
        <rFont val="Play"/>
        <color theme="1"/>
        <sz val="11.0"/>
      </rPr>
      <t xml:space="preserve">Marlin Colour Kraft rolls 480mm x 700mm: 5 PACK PASTELS </t>
    </r>
    <r>
      <rPr>
        <rFont val="Aptos Display"/>
        <b/>
        <color rgb="FFFF0000"/>
        <sz val="11.0"/>
      </rPr>
      <t>NEW</t>
    </r>
  </si>
  <si>
    <t>TBC</t>
  </si>
  <si>
    <t>BOOK COVERS - POLY ROLLS</t>
  </si>
  <si>
    <t>001E</t>
  </si>
  <si>
    <t>Polyethylene rolls 450mm x 1.5m 30 microns (CASE of 300)</t>
  </si>
  <si>
    <t>001E-100</t>
  </si>
  <si>
    <t>Polyethylene rolls 450mm x 1.5m 30 microns (CASE of 100)</t>
  </si>
  <si>
    <t>001K</t>
  </si>
  <si>
    <t>Polyethylene rolls 450mm x 1.5m 45 microns (CASE of 300)</t>
  </si>
  <si>
    <t>001K-100</t>
  </si>
  <si>
    <t xml:space="preserve">Polyethylene rolls 450mm x 1.5m 45 microns (CASE of 100) </t>
  </si>
  <si>
    <t>001U</t>
  </si>
  <si>
    <t>Polyethylene rolls 450mm x 3m 45 microns</t>
  </si>
  <si>
    <t>001M</t>
  </si>
  <si>
    <t xml:space="preserve">Polyethylene rolls 450mm x 3m 60 microns </t>
  </si>
  <si>
    <t>001V</t>
  </si>
  <si>
    <t xml:space="preserve">Polyethylene rolls 450mm x 3m 100 microns </t>
  </si>
  <si>
    <t>BOOK COVERS - POLY ROLLS LD NEW</t>
  </si>
  <si>
    <t>003P-LD-FF</t>
  </si>
  <si>
    <r>
      <rPr>
        <rFont val="Play"/>
        <color theme="1"/>
        <sz val="11.0"/>
      </rPr>
      <t xml:space="preserve">FIREFLY: LD Poly Rolls 480mm x 1.8m x 30 microns </t>
    </r>
    <r>
      <rPr>
        <rFont val="Aptos Display"/>
        <b/>
        <color rgb="FFFF0000"/>
        <sz val="11.0"/>
      </rPr>
      <t>NEW</t>
    </r>
  </si>
  <si>
    <t>6009697795026</t>
  </si>
  <si>
    <t>003R-LD-FF</t>
  </si>
  <si>
    <r>
      <rPr>
        <rFont val="Play"/>
        <color theme="1"/>
        <sz val="11.0"/>
      </rPr>
      <t xml:space="preserve">FIREFLY: LD Poly Rolls 480mm x 3m x 30 microns </t>
    </r>
    <r>
      <rPr>
        <rFont val="Aptos Display"/>
        <b/>
        <color rgb="FFFF0000"/>
        <sz val="11.0"/>
      </rPr>
      <t>NEW</t>
    </r>
  </si>
  <si>
    <t>6009697795040</t>
  </si>
  <si>
    <t>003T-LD-FF</t>
  </si>
  <si>
    <r>
      <rPr>
        <rFont val="Play"/>
        <color theme="1"/>
        <sz val="11.0"/>
      </rPr>
      <t xml:space="preserve">FIREFLY: LD Poly Rolls 480mm x 6m x 30 microns </t>
    </r>
    <r>
      <rPr>
        <rFont val="Aptos Display"/>
        <b/>
        <color rgb="FFFF0000"/>
        <sz val="11.0"/>
      </rPr>
      <t>NEW</t>
    </r>
  </si>
  <si>
    <t>6009697795064</t>
  </si>
  <si>
    <t>003U-LD-FF</t>
  </si>
  <si>
    <r>
      <rPr>
        <rFont val="Play"/>
        <color theme="1"/>
        <sz val="11.0"/>
      </rPr>
      <t xml:space="preserve">FIREFLY: LD Poly Rolls 480mm x 6m x 75 microns </t>
    </r>
    <r>
      <rPr>
        <rFont val="Aptos Display"/>
        <b/>
        <color rgb="FFFF0000"/>
        <sz val="11.0"/>
      </rPr>
      <t>NEW</t>
    </r>
  </si>
  <si>
    <t>6009697795071</t>
  </si>
  <si>
    <t>003W-LD-FF</t>
  </si>
  <si>
    <r>
      <rPr>
        <rFont val="Play"/>
        <color theme="1"/>
        <sz val="11.0"/>
      </rPr>
      <t>FIREFLY: LD Poly Rolls 480mm x 3m x 75 microns</t>
    </r>
    <r>
      <rPr>
        <rFont val="Aptos Display"/>
        <b/>
        <color rgb="FFFF0000"/>
        <sz val="11.0"/>
      </rPr>
      <t xml:space="preserve"> NEW</t>
    </r>
  </si>
  <si>
    <t>6009697797037</t>
  </si>
  <si>
    <t>001O</t>
  </si>
  <si>
    <r>
      <rPr>
        <rFont val="Aptos Display"/>
        <b/>
        <color theme="1"/>
        <sz val="11.0"/>
        <u/>
      </rPr>
      <t>Marlin Combo Pack</t>
    </r>
    <r>
      <rPr>
        <rFont val="Aptos Display"/>
        <color theme="1"/>
        <sz val="11.0"/>
      </rPr>
      <t>: consists of</t>
    </r>
  </si>
  <si>
    <t>2 x 1m Brown Kraft rolls</t>
  </si>
  <si>
    <t xml:space="preserve">2 x 1m poly rolls                                                                                                  </t>
  </si>
  <si>
    <t>1 clear tape 12mm x 20m</t>
  </si>
  <si>
    <t xml:space="preserve">6 x  Blue border labels                                             </t>
  </si>
  <si>
    <t>003F</t>
  </si>
  <si>
    <r>
      <rPr>
        <rFont val="Aptos Display"/>
        <b/>
        <color theme="1"/>
        <sz val="11.0"/>
        <u/>
      </rPr>
      <t>Marlin Book Cover Pre-cut Brown Kraft Combo 17pc</t>
    </r>
    <r>
      <rPr>
        <rFont val="Aptos Display"/>
        <color theme="1"/>
        <sz val="11.0"/>
      </rPr>
      <t xml:space="preserve">: consists of </t>
    </r>
  </si>
  <si>
    <t xml:space="preserve">5 x Slip On Covers PP </t>
  </si>
  <si>
    <t xml:space="preserve">5 x Pre-cut covers Brown Kraft covers </t>
  </si>
  <si>
    <t>1 x clear tape 12mm x 20m</t>
  </si>
  <si>
    <t>6 x Blue Border Labels</t>
  </si>
  <si>
    <t>003G</t>
  </si>
  <si>
    <r>
      <rPr>
        <rFont val="Aptos Display"/>
        <b/>
        <color theme="1"/>
        <sz val="11.0"/>
        <u/>
      </rPr>
      <t>Marlin Book Cover Pre-cut Colour Kraft Combo 17pc</t>
    </r>
    <r>
      <rPr>
        <rFont val="Aptos Display"/>
        <color theme="1"/>
        <sz val="11.0"/>
      </rPr>
      <t xml:space="preserve">: consists of </t>
    </r>
  </si>
  <si>
    <t>5 x Slip On Covers PP</t>
  </si>
  <si>
    <t xml:space="preserve"> 5 x Pre-cut Covers Colour Kraft covers </t>
  </si>
  <si>
    <t xml:space="preserve"> 6 x Blue Border Labels </t>
  </si>
  <si>
    <t>One colour per Combo, assorted colours per pack</t>
  </si>
  <si>
    <t>001F-COMBO</t>
  </si>
  <si>
    <t>Marlin Kids Pre-cut book covers A4 Fancy Designs 5's + A4 Slip on Covers 50 microns 5's</t>
  </si>
  <si>
    <t>001F-KRAFT</t>
  </si>
  <si>
    <t>Marlin Kids Pre-cut  book covers A4 Brown Kraft 10's</t>
  </si>
  <si>
    <t>001R</t>
  </si>
  <si>
    <t>Marlin Kids Colour Kraft Pre-cut book covers A4 5's</t>
  </si>
  <si>
    <t>001F</t>
  </si>
  <si>
    <t>Marlin Kids Pre-cut book covers A4 Fancy Designs 5's (Asst / pk of 16)</t>
  </si>
  <si>
    <t>002Z</t>
  </si>
  <si>
    <t>Marlin Kids Pre-cut book covers A5 Fancy Designs 5's (Asst / pk of 20)</t>
  </si>
  <si>
    <t>002Y</t>
  </si>
  <si>
    <t>Marlin Kids Colour Kraft Pre-cut book covers A5 5's</t>
  </si>
  <si>
    <t>BOOK COVERS - PRECUTS - SELF ADHESIVE</t>
  </si>
  <si>
    <t>003H</t>
  </si>
  <si>
    <r>
      <rPr>
        <rFont val="Play"/>
        <color theme="1"/>
        <sz val="11.0"/>
      </rPr>
      <t>Marlin Pre-cut book covers A4 Clear Self Adhesive 5's</t>
    </r>
    <r>
      <rPr>
        <rFont val="Aptos Display"/>
        <color rgb="FFFF0000"/>
        <sz val="11.0"/>
      </rPr>
      <t xml:space="preserve"> </t>
    </r>
  </si>
  <si>
    <t>BOOK COVERS - SELF ADHESIVE ROLLS</t>
  </si>
  <si>
    <t>003M</t>
  </si>
  <si>
    <t xml:space="preserve">Marlin self adhesive rolls Clear 450mm x 1m </t>
  </si>
  <si>
    <t>003J</t>
  </si>
  <si>
    <t xml:space="preserve">Marlin self adhesive rolls Clear 450mm x 2m </t>
  </si>
  <si>
    <t>003K</t>
  </si>
  <si>
    <r>
      <rPr>
        <rFont val="Play"/>
        <color theme="1"/>
        <sz val="11.0"/>
      </rPr>
      <t>Marlin self adhesive rolls Clear 450mm x 5m</t>
    </r>
  </si>
  <si>
    <t>003L</t>
  </si>
  <si>
    <t xml:space="preserve">Marlin self adhesive rolls assorted designs 450mm x 2m </t>
  </si>
  <si>
    <t>001D</t>
  </si>
  <si>
    <t>Marlin adjustable book covers A4 5's 120 microns</t>
  </si>
  <si>
    <t>001A</t>
  </si>
  <si>
    <t>Marlin adjustable book covers A4 10's 120 microns</t>
  </si>
  <si>
    <t>001B</t>
  </si>
  <si>
    <t xml:space="preserve">Marlin adjustable book covers A4 10's 50 microns </t>
  </si>
  <si>
    <t>001C</t>
  </si>
  <si>
    <t xml:space="preserve">Marlin adjustable book covers A5 10's 50 microns </t>
  </si>
  <si>
    <t>003A</t>
  </si>
  <si>
    <t>Marlin adjustable book covers A5 5's 120 micron</t>
  </si>
  <si>
    <t>002D</t>
  </si>
  <si>
    <t>Marlin Coloured Slip on book covers A4 5's 140 microns (1 Colour per pack)</t>
  </si>
  <si>
    <t>GIFT WRAP - INDIVIDUALLY SHRINK-WRAPPED (SOLD IN FULL CASES ONLY)</t>
  </si>
  <si>
    <t>002G</t>
  </si>
  <si>
    <t>Marlin Gift wrap assorted designs 1m x 700mm (New designs)</t>
  </si>
  <si>
    <t>002T</t>
  </si>
  <si>
    <t>Marlin Premium Gift wrap assorted metallic designs 1m x 700mm</t>
  </si>
  <si>
    <t>002U</t>
  </si>
  <si>
    <t>Marlin Holographic Gift wrap 1m x 700mm</t>
  </si>
  <si>
    <t>002O</t>
  </si>
  <si>
    <t>Marlin Book cover roll assorted designs 700mm x 500mm (New designs)</t>
  </si>
  <si>
    <t>CODE</t>
  </si>
  <si>
    <t>CHARTS - EDUCATIONAL WALL CHARTS</t>
  </si>
  <si>
    <t>CHART0001</t>
  </si>
  <si>
    <t>Marlin Kids Chart: Addition</t>
  </si>
  <si>
    <t>CHART0002</t>
  </si>
  <si>
    <t>Marlin Kids Chart: Subtraction</t>
  </si>
  <si>
    <t>CHART0003</t>
  </si>
  <si>
    <t>Marlin Kids Chart: Multiplication</t>
  </si>
  <si>
    <t>CHART0004</t>
  </si>
  <si>
    <t>Marlin Kids Chart: Division</t>
  </si>
  <si>
    <t>CHART0005</t>
  </si>
  <si>
    <t>Marlin Kids Chart: Counting 1 to 10</t>
  </si>
  <si>
    <t>CHART0006</t>
  </si>
  <si>
    <t>Marlin Kids Chart: Counting 1 to 20</t>
  </si>
  <si>
    <t>CHART0007</t>
  </si>
  <si>
    <t>Marlin Kids Chart: Counting 1 to 100</t>
  </si>
  <si>
    <t>CHART0008</t>
  </si>
  <si>
    <t>Marlin Kids Chart: Times Tables 1 to 12</t>
  </si>
  <si>
    <t>CHART0009</t>
  </si>
  <si>
    <t>Marlin Kids Chart: Alphabet</t>
  </si>
  <si>
    <t>CHART0010</t>
  </si>
  <si>
    <t>Marlin Kids Chart: Colours</t>
  </si>
  <si>
    <t>CHART0011</t>
  </si>
  <si>
    <t>Marlin Kids Chart: Shapes</t>
  </si>
  <si>
    <t>CHART0012</t>
  </si>
  <si>
    <t>Marlin Kids Chart: Shapes &amp; Colours</t>
  </si>
  <si>
    <t>CHART0014</t>
  </si>
  <si>
    <t>Marlin Kids Chart: Nursery Rhymes</t>
  </si>
  <si>
    <t>CHART0015</t>
  </si>
  <si>
    <t>Marlin Kids Chart: Fruit</t>
  </si>
  <si>
    <t>CHART0016</t>
  </si>
  <si>
    <t>Marlin Kids Chart: Vegetables</t>
  </si>
  <si>
    <t>CHART0017</t>
  </si>
  <si>
    <t>Marlin Kids Chart: Telling the Time</t>
  </si>
  <si>
    <t>CHART0018</t>
  </si>
  <si>
    <t>Marlin Kids Chart: The Solar System</t>
  </si>
  <si>
    <t>CHART0019</t>
  </si>
  <si>
    <t>Marlin Kids Chart: Birthday</t>
  </si>
  <si>
    <t>CHART0021</t>
  </si>
  <si>
    <t>Marlin Kids Chart: Opposites</t>
  </si>
  <si>
    <t>CHART0023</t>
  </si>
  <si>
    <t>Marlin Kids Chart: My Body</t>
  </si>
  <si>
    <t>CHART0026</t>
  </si>
  <si>
    <t>Marlin Kids Chart: Days of the Week</t>
  </si>
  <si>
    <t>CHART0027</t>
  </si>
  <si>
    <t>Marlin Kids Chart: Months of the Year</t>
  </si>
  <si>
    <t>CHART0028</t>
  </si>
  <si>
    <t>Marlin Kids Chart: The World</t>
  </si>
  <si>
    <t>CHART0029</t>
  </si>
  <si>
    <t>Marlin Kids Chart: Africa</t>
  </si>
  <si>
    <t>CHART0030</t>
  </si>
  <si>
    <t>Marlin Kids Chart: South Africa</t>
  </si>
  <si>
    <t>CHART0034</t>
  </si>
  <si>
    <t>Marlin Kids Chart: Weather</t>
  </si>
  <si>
    <t>CHART0035</t>
  </si>
  <si>
    <t>Marlin Kids Chart: My Family</t>
  </si>
  <si>
    <t>CHART0039</t>
  </si>
  <si>
    <t>Marlin Kids Chart: My Feelings</t>
  </si>
  <si>
    <t>CHART0041</t>
  </si>
  <si>
    <t>Marlin Kids Chart: Addition Tables</t>
  </si>
  <si>
    <t>CHART0042</t>
  </si>
  <si>
    <t>Marlin Kids Chart: Subtraction Tables</t>
  </si>
  <si>
    <t>CHART0043</t>
  </si>
  <si>
    <t>Marlin Kids Chart: Division Tables</t>
  </si>
  <si>
    <t>ENVELOPES - SOLD IN FULL CASES ONLY</t>
  </si>
  <si>
    <t>DIMENSIONS</t>
  </si>
  <si>
    <t>MARLIN MAIL LITE ENVELOPES (BUBBLE MAILERS)</t>
  </si>
  <si>
    <t>ENVML003</t>
  </si>
  <si>
    <t>Marlin Mail Lite Envelopes - C0</t>
  </si>
  <si>
    <t>150 x 210mm</t>
  </si>
  <si>
    <t>ENVML004</t>
  </si>
  <si>
    <r>
      <rPr>
        <rFont val="Play"/>
        <color theme="1"/>
        <sz val="11.0"/>
      </rPr>
      <t>Marlin Mail Lite Envelopes - D1</t>
    </r>
    <r>
      <rPr>
        <rFont val="Aptos Display"/>
        <color rgb="FFFF0000"/>
        <sz val="11.0"/>
      </rPr>
      <t xml:space="preserve"> </t>
    </r>
  </si>
  <si>
    <t>180 x 260mm</t>
  </si>
  <si>
    <t>BROWN ENVELOPES</t>
  </si>
  <si>
    <t>ENVB003</t>
  </si>
  <si>
    <t>Marlin Envelopes C4 Pocket Brown Self Seal 250's</t>
  </si>
  <si>
    <t>324 x 229mm</t>
  </si>
  <si>
    <t>ENVB005</t>
  </si>
  <si>
    <t>Marlin Envelopes C5 Pocket Brown Self Seal 500's</t>
  </si>
  <si>
    <t>229 x 162mm</t>
  </si>
  <si>
    <t>ENVB009</t>
  </si>
  <si>
    <t>Marlin Envelopes DL Brown Self Seal 500's</t>
  </si>
  <si>
    <t>110 x 220mm</t>
  </si>
  <si>
    <t>ENVB010</t>
  </si>
  <si>
    <t>Marlin Envelopes DL Brown with Window Self Seal 500's</t>
  </si>
  <si>
    <t>ENVB014</t>
  </si>
  <si>
    <t>Marlin WAGE Envelopes Brown - printed Simpli Stick 50's</t>
  </si>
  <si>
    <t>152 x 102mm</t>
  </si>
  <si>
    <t>ENVB015</t>
  </si>
  <si>
    <t>Marlin WAGE Envelopes Brown - printed Simpli Stick 500's</t>
  </si>
  <si>
    <t>ENVB016</t>
  </si>
  <si>
    <t>Marlin WAGE Envelopes Brown - blank Simpli Stick 500's</t>
  </si>
  <si>
    <t>ENVB018</t>
  </si>
  <si>
    <r>
      <rPr>
        <rFont val="Play"/>
        <color theme="1"/>
        <sz val="11.0"/>
      </rPr>
      <t>Marlin Envelopes Brown Gum</t>
    </r>
    <r>
      <rPr>
        <rFont val="Aptos Display"/>
        <color theme="1"/>
        <sz val="11.0"/>
      </rPr>
      <t xml:space="preserve"> 25's</t>
    </r>
  </si>
  <si>
    <t>90 x 152mm</t>
  </si>
  <si>
    <t>ENVB020</t>
  </si>
  <si>
    <r>
      <rPr>
        <rFont val="Play"/>
        <color theme="1"/>
        <sz val="11.0"/>
      </rPr>
      <t>Marlin Envelopes C6 Brown Gum</t>
    </r>
    <r>
      <rPr>
        <rFont val="Aptos Display"/>
        <color theme="1"/>
        <sz val="11.0"/>
      </rPr>
      <t xml:space="preserve"> 25's</t>
    </r>
  </si>
  <si>
    <t>114 x 162mm</t>
  </si>
  <si>
    <t>ENVB029</t>
  </si>
  <si>
    <t xml:space="preserve">Marlin Envelopes DL Brown 25's Self Seal </t>
  </si>
  <si>
    <t>ENVB031</t>
  </si>
  <si>
    <t>Marlin Envelopes C4 Pocket Brown Self Seal 10's</t>
  </si>
  <si>
    <t>ENVB034</t>
  </si>
  <si>
    <t xml:space="preserve">Marlin Envelopes B4 Pocket Brown Simplistick 250's </t>
  </si>
  <si>
    <t>353 x 250mm</t>
  </si>
  <si>
    <t>ENVB035</t>
  </si>
  <si>
    <r>
      <rPr>
        <rFont val="Play"/>
        <color theme="1"/>
        <sz val="11.0"/>
      </rPr>
      <t>Marlin Envelopes C3 Pocket Brown Simplistick 250's</t>
    </r>
    <r>
      <rPr>
        <rFont val="Aptos Display"/>
        <color rgb="FFFF0000"/>
        <sz val="11.0"/>
      </rPr>
      <t xml:space="preserve"> </t>
    </r>
  </si>
  <si>
    <t>458 x 324mm</t>
  </si>
  <si>
    <t>WHITE ENVELOPES</t>
  </si>
  <si>
    <t>ENVW003</t>
  </si>
  <si>
    <t>Marlin Envelopes C4 Pocket White Self Seal 250's</t>
  </si>
  <si>
    <t>ENVW005</t>
  </si>
  <si>
    <t>Marlin Envelopes C5 Pocket White Self Seal 500's</t>
  </si>
  <si>
    <t>ENVW009</t>
  </si>
  <si>
    <t>Marlin Envelopes DL White Self Seal 500's</t>
  </si>
  <si>
    <t>ENVW010</t>
  </si>
  <si>
    <t>Marlin Envelopes DL White with Window Self Seal 500's</t>
  </si>
  <si>
    <t>ENVW018</t>
  </si>
  <si>
    <r>
      <rPr>
        <rFont val="Play"/>
        <color theme="1"/>
        <sz val="11.0"/>
      </rPr>
      <t xml:space="preserve">Marlin Envelopes White Gum </t>
    </r>
    <r>
      <rPr>
        <rFont val="Aptos Display"/>
        <color theme="1"/>
        <sz val="11.0"/>
      </rPr>
      <t xml:space="preserve">25's </t>
    </r>
  </si>
  <si>
    <t>ENVW019</t>
  </si>
  <si>
    <r>
      <rPr>
        <rFont val="Play"/>
        <color theme="1"/>
        <sz val="11.0"/>
      </rPr>
      <t xml:space="preserve">Marlin Envelopes White with Window Gum </t>
    </r>
    <r>
      <rPr>
        <rFont val="Aptos Display"/>
        <color theme="1"/>
        <sz val="11.0"/>
      </rPr>
      <t xml:space="preserve">25's </t>
    </r>
  </si>
  <si>
    <t>ENVW020</t>
  </si>
  <si>
    <r>
      <rPr>
        <rFont val="Play"/>
        <color theme="1"/>
        <sz val="11.0"/>
      </rPr>
      <t>Marlin Envelopes C6 White Gum</t>
    </r>
    <r>
      <rPr>
        <rFont val="Aptos Display"/>
        <color theme="1"/>
        <sz val="11.0"/>
      </rPr>
      <t xml:space="preserve"> 25's </t>
    </r>
  </si>
  <si>
    <t>ENVW029</t>
  </si>
  <si>
    <t>Marlin Envelopes DL White 25's Self Seal</t>
  </si>
  <si>
    <t>ENVW030</t>
  </si>
  <si>
    <t>Marlin Envelopes DL White with window 25's Self Seal</t>
  </si>
  <si>
    <t>ENVW031</t>
  </si>
  <si>
    <r>
      <rPr>
        <rFont val="Play"/>
        <color theme="1"/>
        <sz val="11.0"/>
      </rPr>
      <t>Marlin Envelopes C4 Pocket White Self Seal 10's</t>
    </r>
    <r>
      <rPr>
        <rFont val="Aptos Display"/>
        <color rgb="FFFF0000"/>
        <sz val="11.0"/>
      </rPr>
      <t xml:space="preserve"> </t>
    </r>
  </si>
  <si>
    <t>PAPER PRICES</t>
  </si>
  <si>
    <t>PRICES EFFECTIVE FROM 04 OCTOBER 2024, V.A.T. EXCLUDED</t>
  </si>
  <si>
    <t>PALLET</t>
  </si>
  <si>
    <t>A4 80 GRAM WHITE BOND PAPER</t>
  </si>
  <si>
    <t>9020R</t>
  </si>
  <si>
    <t>Rotatrim 80gsm A4 White</t>
  </si>
  <si>
    <t>SEE BELOW</t>
  </si>
  <si>
    <t>80 boxes</t>
  </si>
  <si>
    <t>9025HP</t>
  </si>
  <si>
    <t>HP OFFICE 70gsm A4 White</t>
  </si>
  <si>
    <t>QUANTITY</t>
  </si>
  <si>
    <t>COLLECTION / GAUTENG</t>
  </si>
  <si>
    <t>NWP/LIM</t>
  </si>
  <si>
    <t>MP/FS</t>
  </si>
  <si>
    <t>N/C</t>
  </si>
  <si>
    <t>1 - 80 boxes / 1 pallet / 400 reams</t>
  </si>
  <si>
    <t>80 boxes / 1 pallet / 400 reams</t>
  </si>
  <si>
    <t>LIMITED TO ONE PALLET ONLY!!!</t>
  </si>
  <si>
    <t>A3 80 GRAM WHITE BOND PAPER</t>
  </si>
  <si>
    <t>9015R</t>
  </si>
  <si>
    <t>Rotatrim 80gsm A3 White</t>
  </si>
  <si>
    <t>40 boxes</t>
  </si>
  <si>
    <t>9015HP</t>
  </si>
  <si>
    <t xml:space="preserve">HP Everyday paper A3 80gsm white </t>
  </si>
  <si>
    <t>CONTINOUS COMPUTER PAPER</t>
  </si>
  <si>
    <t>061A</t>
  </si>
  <si>
    <t xml:space="preserve">Marlin Continuous Computer paper blank 280x240mm 1 Part </t>
  </si>
  <si>
    <t>144 boxes</t>
  </si>
  <si>
    <t>PAPER PRICES - SOLD IN FULL CASES ONLY</t>
  </si>
  <si>
    <t xml:space="preserve">ALL OF THESE PRICES ARE NETT, NETT &amp; ARE SUBJECT TO </t>
  </si>
  <si>
    <t>PAPER MILL INCREASES WITHOUT PRIOR NOTICE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</si>
</sst>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&quot;* #,##0.00_-;\-&quot;R&quot;* #,##0.00_-;_-&quot;R&quot;* &quot;-&quot;??_-;_-@"/>
    <numFmt numFmtId="165" formatCode="#,##0_ ;\-#,##0\ "/>
    <numFmt numFmtId="166" formatCode="00000"/>
    <numFmt numFmtId="167" formatCode="_ [$R-1C09]\ * #,##0.00_ ;_ [$R-1C09]\ * \-#,##0.00_ ;_ [$R-1C09]\ * &quot;-&quot;??_ ;_ @_ "/>
    <numFmt numFmtId="168" formatCode="_-[$R-1C09]* #,##0.00_-;\-[$R-1C09]* #,##0.00_-;_-[$R-1C09]* &quot;-&quot;??_-;_-@"/>
  </numFmts>
  <fonts count="42">
    <font>
      <sz val="10.0"/>
      <color rgb="FF000000"/>
      <name val="Arial"/>
      <scheme val="minor"/>
    </font>
    <font>
      <b/>
      <sz val="14.0"/>
      <color theme="1"/>
      <name val="Play"/>
    </font>
    <font>
      <b/>
      <sz val="18.0"/>
      <color rgb="FF92D050"/>
      <name val="Play"/>
    </font>
    <font>
      <sz val="10.0"/>
      <color theme="1"/>
      <name val="Play"/>
    </font>
    <font>
      <b/>
      <sz val="11.0"/>
      <color theme="1"/>
      <name val="Play"/>
    </font>
    <font>
      <b/>
      <sz val="20.0"/>
      <color theme="1"/>
      <name val="Play"/>
    </font>
    <font/>
    <font>
      <u/>
      <sz val="11.0"/>
      <color theme="10"/>
      <name val="Play"/>
    </font>
    <font>
      <sz val="11.0"/>
      <color theme="1"/>
      <name val="Play"/>
    </font>
    <font>
      <u/>
      <sz val="11.0"/>
      <color theme="10"/>
      <name val="Play"/>
    </font>
    <font>
      <u/>
      <sz val="11.0"/>
      <color theme="10"/>
      <name val="Play"/>
    </font>
    <font>
      <b/>
      <u/>
      <sz val="14.0"/>
      <color rgb="FFFF0000"/>
      <name val="Play"/>
    </font>
    <font>
      <u/>
      <sz val="11.0"/>
      <color theme="1"/>
      <name val="Play"/>
    </font>
    <font>
      <b/>
      <sz val="11.0"/>
      <color rgb="FF002060"/>
      <name val="Play"/>
    </font>
    <font>
      <b/>
      <sz val="45.0"/>
      <color theme="1"/>
      <name val="Play"/>
    </font>
    <font>
      <b/>
      <u/>
      <sz val="11.0"/>
      <color theme="1"/>
      <name val="Play"/>
    </font>
    <font>
      <b/>
      <u/>
      <sz val="11.0"/>
      <color theme="1"/>
      <name val="Play"/>
    </font>
    <font>
      <b/>
      <sz val="11.0"/>
      <color rgb="FF31859B"/>
      <name val="Play"/>
    </font>
    <font>
      <b/>
      <sz val="15.0"/>
      <color rgb="FFFF0000"/>
      <name val="Play"/>
    </font>
    <font>
      <b/>
      <sz val="14.0"/>
      <color rgb="FFFF0000"/>
      <name val="Play"/>
    </font>
    <font>
      <sz val="11.0"/>
      <color rgb="FFFF0000"/>
      <name val="Play"/>
    </font>
    <font>
      <b/>
      <u/>
      <sz val="11.0"/>
      <color rgb="FFFF0000"/>
      <name val="Play"/>
    </font>
    <font>
      <b/>
      <u/>
      <sz val="11.0"/>
      <color rgb="FFFF0000"/>
      <name val="Play"/>
    </font>
    <font>
      <b/>
      <u/>
      <sz val="11.0"/>
      <color rgb="FFFF0000"/>
      <name val="Play"/>
    </font>
    <font>
      <b/>
      <i/>
      <sz val="11.0"/>
      <color theme="1"/>
      <name val="Play"/>
    </font>
    <font>
      <b/>
      <sz val="11.0"/>
      <color rgb="FFFF0000"/>
      <name val="Play"/>
    </font>
    <font>
      <b/>
      <u/>
      <sz val="11.0"/>
      <color rgb="FFFF0000"/>
      <name val="Play"/>
    </font>
    <font>
      <sz val="11.0"/>
      <color rgb="FF000000"/>
      <name val="Play"/>
    </font>
    <font>
      <b/>
      <u/>
      <sz val="11.0"/>
      <color theme="1"/>
      <name val="Play"/>
    </font>
    <font>
      <b/>
      <u/>
      <sz val="11.0"/>
      <color rgb="FFFF0000"/>
      <name val="Play"/>
    </font>
    <font>
      <b/>
      <u/>
      <sz val="11.0"/>
      <color rgb="FFFF0000"/>
      <name val="Play"/>
    </font>
    <font>
      <b/>
      <u/>
      <sz val="11.0"/>
      <color theme="1"/>
      <name val="Play"/>
    </font>
    <font>
      <sz val="11.0"/>
      <color theme="1"/>
      <name val="Calibri"/>
    </font>
    <font>
      <b/>
      <u/>
      <sz val="11.0"/>
      <color rgb="FFFF0000"/>
      <name val="Calibri"/>
    </font>
    <font>
      <b/>
      <u/>
      <sz val="20.0"/>
      <color rgb="FFFF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u/>
      <sz val="11.0"/>
      <color rgb="FFFF0000"/>
      <name val="Calibri"/>
    </font>
    <font>
      <b/>
      <u/>
      <sz val="11.0"/>
      <color rgb="FFFF0000"/>
      <name val="Calibri"/>
    </font>
    <font>
      <sz val="11.0"/>
      <color rgb="FFFF0000"/>
      <name val="Calibri"/>
    </font>
    <font>
      <b/>
      <u/>
      <sz val="11.0"/>
      <color rgb="FFFF0000"/>
      <name val="Calibri"/>
    </font>
    <font>
      <b/>
      <sz val="15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00B0F0"/>
        <bgColor rgb="FF00B0F0"/>
      </patternFill>
    </fill>
  </fills>
  <borders count="60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 shrinkToFit="0" vertical="bottom" wrapText="1"/>
    </xf>
    <xf borderId="2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4" fillId="3" fontId="1" numFmtId="0" xfId="0" applyAlignment="1" applyBorder="1" applyFill="1" applyFont="1">
      <alignment horizontal="center" shrinkToFit="0" vertical="bottom" wrapText="1"/>
    </xf>
    <xf borderId="5" fillId="0" fontId="6" numFmtId="0" xfId="0" applyAlignment="1" applyBorder="1" applyFon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9" fillId="0" fontId="7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shrinkToFit="0" vertical="top" wrapText="1"/>
    </xf>
    <xf borderId="10" fillId="0" fontId="8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11" fillId="0" fontId="9" numFmtId="0" xfId="0" applyAlignment="1" applyBorder="1" applyFont="1">
      <alignment horizontal="left" shrinkToFit="0" vertical="bottom" wrapText="0"/>
    </xf>
    <xf borderId="10" fillId="0" fontId="8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shrinkToFit="0" vertical="bottom" wrapText="0"/>
    </xf>
    <xf borderId="12" fillId="0" fontId="8" numFmtId="0" xfId="0" applyAlignment="1" applyBorder="1" applyFont="1">
      <alignment horizontal="left" shrinkToFit="0" vertical="bottom" wrapText="1"/>
    </xf>
    <xf borderId="13" fillId="0" fontId="8" numFmtId="0" xfId="0" applyAlignment="1" applyBorder="1" applyFont="1">
      <alignment horizontal="left" shrinkToFit="0" vertical="bottom" wrapText="0"/>
    </xf>
    <xf borderId="13" fillId="0" fontId="8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horizontal="left" shrinkToFit="0" vertical="bottom" wrapText="0"/>
    </xf>
    <xf borderId="14" fillId="0" fontId="10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horizontal="center" shrinkToFit="0" vertical="bottom" wrapText="0"/>
    </xf>
    <xf borderId="1" fillId="4" fontId="8" numFmtId="0" xfId="0" applyAlignment="1" applyBorder="1" applyFill="1" applyFont="1">
      <alignment horizontal="left" shrinkToFit="0" vertical="bottom" wrapText="1"/>
    </xf>
    <xf borderId="1" fillId="4" fontId="4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1" fillId="2" fontId="4" numFmtId="0" xfId="0" applyAlignment="1" applyBorder="1" applyFont="1">
      <alignment horizontal="left" shrinkToFit="0" vertical="bottom" wrapText="1"/>
    </xf>
    <xf borderId="1" fillId="5" fontId="8" numFmtId="0" xfId="0" applyAlignment="1" applyBorder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15" fillId="0" fontId="15" numFmtId="0" xfId="0" applyAlignment="1" applyBorder="1" applyFont="1">
      <alignment shrinkToFit="0" vertical="bottom" wrapText="0"/>
    </xf>
    <xf borderId="16" fillId="0" fontId="16" numFmtId="0" xfId="0" applyAlignment="1" applyBorder="1" applyFont="1">
      <alignment horizontal="center" shrinkToFit="0" vertical="bottom" wrapText="0"/>
    </xf>
    <xf borderId="17" fillId="0" fontId="8" numFmtId="0" xfId="0" applyAlignment="1" applyBorder="1" applyFont="1">
      <alignment shrinkToFit="0" vertical="bottom" wrapText="0"/>
    </xf>
    <xf borderId="18" fillId="0" fontId="8" numFmtId="49" xfId="0" applyAlignment="1" applyBorder="1" applyFont="1" applyNumberFormat="1">
      <alignment horizontal="right" shrinkToFit="0" vertical="bottom" wrapText="0"/>
    </xf>
    <xf borderId="18" fillId="0" fontId="8" numFmtId="0" xfId="0" applyAlignment="1" applyBorder="1" applyFont="1">
      <alignment horizontal="right" shrinkToFit="0" vertical="bottom" wrapText="0"/>
    </xf>
    <xf borderId="1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20" fillId="0" fontId="8" numFmtId="0" xfId="0" applyAlignment="1" applyBorder="1" applyFont="1">
      <alignment shrinkToFit="0" vertical="bottom" wrapText="0"/>
    </xf>
    <xf borderId="0" fillId="0" fontId="17" numFmtId="0" xfId="0" applyAlignment="1" applyFont="1">
      <alignment horizontal="center" shrinkToFit="0" vertical="bottom" wrapText="1"/>
    </xf>
    <xf borderId="21" fillId="0" fontId="8" numFmtId="0" xfId="0" applyAlignment="1" applyBorder="1" applyFont="1">
      <alignment shrinkToFit="0" vertical="bottom" wrapText="0"/>
    </xf>
    <xf borderId="22" fillId="0" fontId="8" numFmtId="0" xfId="0" applyAlignment="1" applyBorder="1" applyFont="1">
      <alignment shrinkToFit="0" vertical="bottom" wrapText="0"/>
    </xf>
    <xf borderId="23" fillId="4" fontId="4" numFmtId="0" xfId="0" applyAlignment="1" applyBorder="1" applyFont="1">
      <alignment horizontal="center" shrinkToFit="0" vertical="bottom" wrapText="0"/>
    </xf>
    <xf borderId="24" fillId="4" fontId="4" numFmtId="0" xfId="0" applyAlignment="1" applyBorder="1" applyFont="1">
      <alignment horizontal="center" shrinkToFit="0" vertical="bottom" wrapText="0"/>
    </xf>
    <xf borderId="25" fillId="4" fontId="4" numFmtId="0" xfId="0" applyAlignment="1" applyBorder="1" applyFont="1">
      <alignment horizontal="center" shrinkToFit="0" vertical="bottom" wrapText="0"/>
    </xf>
    <xf borderId="26" fillId="0" fontId="8" numFmtId="0" xfId="0" applyAlignment="1" applyBorder="1" applyFont="1">
      <alignment shrinkToFit="0" vertical="bottom" wrapText="0"/>
    </xf>
    <xf borderId="26" fillId="0" fontId="8" numFmtId="0" xfId="0" applyAlignment="1" applyBorder="1" applyFont="1">
      <alignment horizontal="right" shrinkToFit="0" vertical="bottom" wrapText="0"/>
    </xf>
    <xf borderId="27" fillId="0" fontId="8" numFmtId="0" xfId="0" applyAlignment="1" applyBorder="1" applyFont="1">
      <alignment shrinkToFit="0" vertical="bottom" wrapText="0"/>
    </xf>
    <xf borderId="27" fillId="0" fontId="8" numFmtId="0" xfId="0" applyAlignment="1" applyBorder="1" applyFont="1">
      <alignment horizontal="right" shrinkToFit="0" vertical="bottom" wrapText="0"/>
    </xf>
    <xf borderId="27" fillId="0" fontId="8" numFmtId="0" xfId="0" applyAlignment="1" applyBorder="1" applyFont="1">
      <alignment shrinkToFit="0" vertical="bottom" wrapText="1"/>
    </xf>
    <xf borderId="27" fillId="0" fontId="8" numFmtId="0" xfId="0" applyAlignment="1" applyBorder="1" applyFont="1">
      <alignment horizontal="right" shrinkToFit="0" vertical="bottom" wrapText="1"/>
    </xf>
    <xf borderId="27" fillId="0" fontId="8" numFmtId="1" xfId="0" applyAlignment="1" applyBorder="1" applyFont="1" applyNumberFormat="1">
      <alignment horizontal="right" shrinkToFit="0" vertical="bottom" wrapText="0"/>
    </xf>
    <xf borderId="27" fillId="0" fontId="8" numFmtId="0" xfId="0" applyAlignment="1" applyBorder="1" applyFont="1">
      <alignment horizontal="left" shrinkToFit="0" vertical="bottom" wrapText="0"/>
    </xf>
    <xf borderId="27" fillId="0" fontId="1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1"/>
    </xf>
    <xf borderId="0" fillId="0" fontId="18" numFmtId="164" xfId="0" applyAlignment="1" applyFont="1" applyNumberFormat="1">
      <alignment shrinkToFit="0" vertical="bottom" wrapText="0"/>
    </xf>
    <xf borderId="0" fillId="0" fontId="19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4" numFmtId="164" xfId="0" applyAlignment="1" applyFont="1" applyNumberForma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8" numFmtId="0" xfId="0" applyAlignment="1" applyFont="1">
      <alignment horizontal="center" shrinkToFit="0" vertical="bottom" wrapText="0"/>
    </xf>
    <xf borderId="28" fillId="2" fontId="4" numFmtId="0" xfId="0" applyAlignment="1" applyBorder="1" applyFont="1">
      <alignment horizontal="center" shrinkToFit="0" vertical="bottom" wrapText="0"/>
    </xf>
    <xf borderId="29" fillId="0" fontId="6" numFmtId="0" xfId="0" applyAlignment="1" applyBorder="1" applyFont="1">
      <alignment shrinkToFit="0" vertical="top" wrapText="1"/>
    </xf>
    <xf borderId="30" fillId="0" fontId="6" numFmtId="0" xfId="0" applyAlignment="1" applyBorder="1" applyFont="1">
      <alignment shrinkToFit="0" vertical="top" wrapText="1"/>
    </xf>
    <xf borderId="31" fillId="0" fontId="4" numFmtId="0" xfId="0" applyAlignment="1" applyBorder="1" applyFont="1">
      <alignment horizontal="center" shrinkToFit="0" vertical="bottom" wrapText="1"/>
    </xf>
    <xf borderId="32" fillId="0" fontId="4" numFmtId="0" xfId="0" applyAlignment="1" applyBorder="1" applyFont="1">
      <alignment horizontal="center" shrinkToFit="0" vertical="bottom" wrapText="1"/>
    </xf>
    <xf borderId="33" fillId="0" fontId="4" numFmtId="164" xfId="0" applyAlignment="1" applyBorder="1" applyFont="1" applyNumberFormat="1">
      <alignment horizontal="center" shrinkToFit="0" vertical="bottom" wrapText="1"/>
    </xf>
    <xf borderId="34" fillId="0" fontId="4" numFmtId="0" xfId="0" applyAlignment="1" applyBorder="1" applyFont="1">
      <alignment horizontal="center" shrinkToFit="0" vertical="bottom" wrapText="0"/>
    </xf>
    <xf borderId="35" fillId="0" fontId="6" numFmtId="0" xfId="0" applyAlignment="1" applyBorder="1" applyFont="1">
      <alignment shrinkToFit="0" vertical="top" wrapText="1"/>
    </xf>
    <xf borderId="0" fillId="0" fontId="20" numFmtId="0" xfId="0" applyAlignment="1" applyFont="1">
      <alignment shrinkToFit="0" vertical="top" wrapText="1"/>
    </xf>
    <xf borderId="36" fillId="0" fontId="6" numFmtId="0" xfId="0" applyAlignment="1" applyBorder="1" applyFont="1">
      <alignment shrinkToFit="0" vertical="top" wrapText="1"/>
    </xf>
    <xf borderId="37" fillId="0" fontId="6" numFmtId="0" xfId="0" applyAlignment="1" applyBorder="1" applyFont="1">
      <alignment shrinkToFit="0" vertical="top" wrapText="1"/>
    </xf>
    <xf borderId="38" fillId="0" fontId="4" numFmtId="0" xfId="0" applyAlignment="1" applyBorder="1" applyFont="1">
      <alignment horizontal="center" shrinkToFit="0" vertical="bottom" wrapText="0"/>
    </xf>
    <xf borderId="20" fillId="0" fontId="4" numFmtId="0" xfId="0" applyAlignment="1" applyBorder="1" applyFont="1">
      <alignment horizontal="center" shrinkToFit="0" vertical="bottom" wrapText="0"/>
    </xf>
    <xf borderId="39" fillId="0" fontId="8" numFmtId="0" xfId="0" applyAlignment="1" applyBorder="1" applyFont="1">
      <alignment horizontal="center" shrinkToFit="0" vertical="bottom" wrapText="0"/>
    </xf>
    <xf borderId="26" fillId="0" fontId="21" numFmtId="0" xfId="0" applyAlignment="1" applyBorder="1" applyFont="1">
      <alignment shrinkToFit="0" vertical="bottom" wrapText="1"/>
    </xf>
    <xf borderId="26" fillId="0" fontId="8" numFmtId="0" xfId="0" applyAlignment="1" applyBorder="1" applyFont="1">
      <alignment horizontal="center" shrinkToFit="0" vertical="bottom" wrapText="0"/>
    </xf>
    <xf borderId="26" fillId="0" fontId="4" numFmtId="164" xfId="0" applyAlignment="1" applyBorder="1" applyFont="1" applyNumberFormat="1">
      <alignment shrinkToFit="0" vertical="bottom" wrapText="0"/>
    </xf>
    <xf borderId="26" fillId="0" fontId="8" numFmtId="1" xfId="0" applyAlignment="1" applyBorder="1" applyFont="1" applyNumberFormat="1">
      <alignment horizontal="center" shrinkToFit="0" vertical="bottom" wrapText="0"/>
    </xf>
    <xf borderId="40" fillId="0" fontId="8" numFmtId="1" xfId="0" applyAlignment="1" applyBorder="1" applyFont="1" applyNumberFormat="1">
      <alignment horizontal="center" shrinkToFit="0" vertical="bottom" wrapText="0"/>
    </xf>
    <xf borderId="17" fillId="0" fontId="8" numFmtId="49" xfId="0" applyAlignment="1" applyBorder="1" applyFont="1" applyNumberFormat="1">
      <alignment horizontal="left" shrinkToFit="0" vertical="bottom" wrapText="0"/>
    </xf>
    <xf borderId="27" fillId="0" fontId="8" numFmtId="0" xfId="0" applyAlignment="1" applyBorder="1" applyFont="1">
      <alignment horizontal="center" shrinkToFit="0" vertical="bottom" wrapText="0"/>
    </xf>
    <xf borderId="27" fillId="0" fontId="4" numFmtId="164" xfId="0" applyAlignment="1" applyBorder="1" applyFont="1" applyNumberFormat="1">
      <alignment horizontal="right" shrinkToFit="0" vertical="bottom" wrapText="0"/>
    </xf>
    <xf borderId="27" fillId="0" fontId="8" numFmtId="1" xfId="0" applyAlignment="1" applyBorder="1" applyFont="1" applyNumberFormat="1">
      <alignment horizontal="center" shrinkToFit="0" vertical="bottom" wrapText="0"/>
    </xf>
    <xf borderId="18" fillId="0" fontId="8" numFmtId="1" xfId="0" applyAlignment="1" applyBorder="1" applyFont="1" applyNumberFormat="1">
      <alignment horizontal="center" shrinkToFit="0" vertical="bottom" wrapText="0"/>
    </xf>
    <xf borderId="0" fillId="0" fontId="8" numFmtId="164" xfId="0" applyAlignment="1" applyFont="1" applyNumberFormat="1">
      <alignment shrinkToFit="0" vertical="top" wrapText="1"/>
    </xf>
    <xf borderId="17" fillId="0" fontId="8" numFmtId="0" xfId="0" applyAlignment="1" applyBorder="1" applyFont="1">
      <alignment horizontal="left" shrinkToFit="0" vertical="bottom" wrapText="0"/>
    </xf>
    <xf borderId="27" fillId="0" fontId="22" numFmtId="0" xfId="0" applyAlignment="1" applyBorder="1" applyFont="1">
      <alignment shrinkToFit="0" vertical="bottom" wrapText="0"/>
    </xf>
    <xf borderId="27" fillId="0" fontId="23" numFmtId="0" xfId="0" applyAlignment="1" applyBorder="1" applyFont="1">
      <alignment shrinkToFit="0" vertical="bottom" wrapText="1"/>
    </xf>
    <xf borderId="17" fillId="0" fontId="24" numFmtId="0" xfId="0" applyAlignment="1" applyBorder="1" applyFont="1">
      <alignment horizontal="left" shrinkToFit="0" vertical="bottom" wrapText="0"/>
    </xf>
    <xf borderId="27" fillId="0" fontId="24" numFmtId="0" xfId="0" applyAlignment="1" applyBorder="1" applyFont="1">
      <alignment horizontal="center" shrinkToFit="0" vertical="bottom" wrapText="0"/>
    </xf>
    <xf borderId="19" fillId="0" fontId="8" numFmtId="49" xfId="0" applyAlignment="1" applyBorder="1" applyFont="1" applyNumberFormat="1">
      <alignment horizontal="left" shrinkToFit="0" vertical="bottom" wrapText="0"/>
    </xf>
    <xf borderId="38" fillId="0" fontId="8" numFmtId="0" xfId="0" applyAlignment="1" applyBorder="1" applyFont="1">
      <alignment shrinkToFit="0" vertical="bottom" wrapText="1"/>
    </xf>
    <xf borderId="38" fillId="0" fontId="8" numFmtId="0" xfId="0" applyAlignment="1" applyBorder="1" applyFont="1">
      <alignment horizontal="center" shrinkToFit="0" vertical="bottom" wrapText="0"/>
    </xf>
    <xf borderId="38" fillId="0" fontId="4" numFmtId="164" xfId="0" applyAlignment="1" applyBorder="1" applyFont="1" applyNumberFormat="1">
      <alignment horizontal="right" shrinkToFit="0" vertical="bottom" wrapText="0"/>
    </xf>
    <xf borderId="38" fillId="0" fontId="8" numFmtId="1" xfId="0" applyAlignment="1" applyBorder="1" applyFont="1" applyNumberFormat="1">
      <alignment horizontal="center" shrinkToFit="0" vertical="bottom" wrapText="0"/>
    </xf>
    <xf borderId="20" fillId="0" fontId="8" numFmtId="1" xfId="0" applyAlignment="1" applyBorder="1" applyFont="1" applyNumberFormat="1">
      <alignment horizontal="center" shrinkToFit="0" vertical="bottom" wrapText="0"/>
    </xf>
    <xf borderId="39" fillId="0" fontId="8" numFmtId="0" xfId="0" applyAlignment="1" applyBorder="1" applyFont="1">
      <alignment horizontal="left" shrinkToFit="0" vertical="bottom" wrapText="0"/>
    </xf>
    <xf borderId="26" fillId="0" fontId="4" numFmtId="164" xfId="0" applyAlignment="1" applyBorder="1" applyFont="1" applyNumberFormat="1">
      <alignment horizontal="right" shrinkToFit="0" vertical="bottom" wrapText="0"/>
    </xf>
    <xf quotePrefix="1" borderId="17" fillId="0" fontId="8" numFmtId="49" xfId="0" applyAlignment="1" applyBorder="1" applyFont="1" applyNumberFormat="1">
      <alignment horizontal="left" shrinkToFit="0" vertical="bottom" wrapText="0"/>
    </xf>
    <xf borderId="41" fillId="0" fontId="8" numFmtId="1" xfId="0" applyAlignment="1" applyBorder="1" applyFont="1" applyNumberFormat="1">
      <alignment horizontal="center" shrinkToFit="0" vertical="bottom" wrapText="0"/>
    </xf>
    <xf borderId="42" fillId="0" fontId="6" numFmtId="0" xfId="0" applyAlignment="1" applyBorder="1" applyFont="1">
      <alignment shrinkToFit="0" vertical="top" wrapText="1"/>
    </xf>
    <xf borderId="17" fillId="0" fontId="8" numFmtId="49" xfId="0" applyAlignment="1" applyBorder="1" applyFont="1" applyNumberFormat="1">
      <alignment shrinkToFit="0" vertical="bottom" wrapText="0"/>
    </xf>
    <xf borderId="27" fillId="0" fontId="4" numFmtId="164" xfId="0" applyAlignment="1" applyBorder="1" applyFont="1" applyNumberFormat="1">
      <alignment shrinkToFit="0" vertical="bottom" wrapText="0"/>
    </xf>
    <xf borderId="43" fillId="0" fontId="4" numFmtId="0" xfId="0" applyAlignment="1" applyBorder="1" applyFont="1">
      <alignment horizontal="center" shrinkToFit="0" vertical="bottom" wrapText="0"/>
    </xf>
    <xf borderId="44" fillId="0" fontId="6" numFmtId="0" xfId="0" applyAlignment="1" applyBorder="1" applyFont="1">
      <alignment shrinkToFit="0" vertical="top" wrapText="1"/>
    </xf>
    <xf borderId="45" fillId="0" fontId="6" numFmtId="0" xfId="0" applyAlignment="1" applyBorder="1" applyFont="1">
      <alignment shrinkToFit="0" vertical="top" wrapText="1"/>
    </xf>
    <xf borderId="0" fillId="0" fontId="4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center" shrinkToFit="0" vertical="bottom" wrapText="0"/>
    </xf>
    <xf borderId="0" fillId="0" fontId="8" numFmtId="10" xfId="0" applyAlignment="1" applyFont="1" applyNumberFormat="1">
      <alignment horizontal="center" shrinkToFit="0" vertical="bottom" wrapText="1"/>
    </xf>
    <xf borderId="0" fillId="0" fontId="8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4" fillId="2" fontId="4" numFmtId="0" xfId="0" applyAlignment="1" applyBorder="1" applyFont="1">
      <alignment horizontal="center" shrinkToFit="0" vertical="bottom" wrapText="0"/>
    </xf>
    <xf borderId="46" fillId="0" fontId="4" numFmtId="49" xfId="0" applyAlignment="1" applyBorder="1" applyFont="1" applyNumberFormat="1">
      <alignment horizontal="center" shrinkToFit="0" vertical="bottom" wrapText="0"/>
    </xf>
    <xf borderId="33" fillId="0" fontId="4" numFmtId="49" xfId="0" applyAlignment="1" applyBorder="1" applyFont="1" applyNumberFormat="1">
      <alignment horizontal="center" shrinkToFit="0" vertical="bottom" wrapText="1"/>
    </xf>
    <xf borderId="33" fillId="0" fontId="4" numFmtId="164" xfId="0" applyAlignment="1" applyBorder="1" applyFont="1" applyNumberFormat="1">
      <alignment horizontal="center" shrinkToFit="0" vertical="bottom" wrapText="0"/>
    </xf>
    <xf borderId="33" fillId="0" fontId="4" numFmtId="0" xfId="0" applyAlignment="1" applyBorder="1" applyFont="1">
      <alignment horizontal="center" shrinkToFit="0" vertical="bottom" wrapText="0"/>
    </xf>
    <xf borderId="33" fillId="0" fontId="4" numFmtId="49" xfId="0" applyAlignment="1" applyBorder="1" applyFont="1" applyNumberFormat="1">
      <alignment horizontal="center" shrinkToFit="0" vertical="bottom" wrapText="0"/>
    </xf>
    <xf borderId="47" fillId="0" fontId="4" numFmtId="49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15" fillId="0" fontId="8" numFmtId="0" xfId="0" applyAlignment="1" applyBorder="1" applyFont="1">
      <alignment horizontal="left" shrinkToFit="0" vertical="bottom" wrapText="0"/>
    </xf>
    <xf borderId="48" fillId="0" fontId="26" numFmtId="0" xfId="0" applyAlignment="1" applyBorder="1" applyFont="1">
      <alignment shrinkToFit="0" vertical="bottom" wrapText="1"/>
    </xf>
    <xf borderId="48" fillId="0" fontId="4" numFmtId="164" xfId="0" applyAlignment="1" applyBorder="1" applyFont="1" applyNumberFormat="1">
      <alignment shrinkToFit="0" vertical="bottom" wrapText="0"/>
    </xf>
    <xf borderId="48" fillId="0" fontId="8" numFmtId="0" xfId="0" applyAlignment="1" applyBorder="1" applyFont="1">
      <alignment horizontal="center" shrinkToFit="0" vertical="bottom" wrapText="0"/>
    </xf>
    <xf borderId="16" fillId="0" fontId="8" numFmtId="1" xfId="0" applyAlignment="1" applyBorder="1" applyFont="1" applyNumberFormat="1">
      <alignment horizontal="center" shrinkToFit="0" vertical="bottom" wrapText="0"/>
    </xf>
    <xf borderId="27" fillId="0" fontId="27" numFmtId="1" xfId="0" applyAlignment="1" applyBorder="1" applyFont="1" applyNumberFormat="1">
      <alignment horizontal="center" shrinkToFit="0" vertical="bottom" wrapText="0"/>
    </xf>
    <xf borderId="48" fillId="0" fontId="4" numFmtId="164" xfId="0" applyAlignment="1" applyBorder="1" applyFont="1" applyNumberFormat="1">
      <alignment horizontal="right" shrinkToFit="0" vertical="bottom" wrapText="0"/>
    </xf>
    <xf borderId="17" fillId="0" fontId="8" numFmtId="0" xfId="0" applyAlignment="1" applyBorder="1" applyFont="1">
      <alignment horizontal="left" shrinkToFit="0" vertical="bottom" wrapText="1"/>
    </xf>
    <xf borderId="17" fillId="0" fontId="8" numFmtId="49" xfId="0" applyAlignment="1" applyBorder="1" applyFont="1" applyNumberFormat="1">
      <alignment horizontal="left" shrinkToFit="0" vertical="bottom" wrapText="1"/>
    </xf>
    <xf borderId="27" fillId="0" fontId="8" numFmtId="0" xfId="0" applyAlignment="1" applyBorder="1" applyFont="1">
      <alignment horizontal="center" shrinkToFit="0" vertical="bottom" wrapText="1"/>
    </xf>
    <xf borderId="18" fillId="0" fontId="8" numFmtId="0" xfId="0" applyAlignment="1" applyBorder="1" applyFont="1">
      <alignment horizontal="center" shrinkToFit="0" vertical="bottom" wrapText="1"/>
    </xf>
    <xf borderId="18" fillId="0" fontId="8" numFmtId="0" xfId="0" applyAlignment="1" applyBorder="1" applyFont="1">
      <alignment horizontal="center" shrinkToFit="0" vertical="bottom" wrapText="0"/>
    </xf>
    <xf borderId="18" fillId="0" fontId="8" numFmtId="1" xfId="0" applyAlignment="1" applyBorder="1" applyFont="1" applyNumberFormat="1">
      <alignment horizontal="center" shrinkToFit="0" vertical="bottom" wrapText="1"/>
    </xf>
    <xf borderId="3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horizontal="left" shrinkToFit="0" vertical="bottom" wrapText="0"/>
    </xf>
    <xf borderId="27" fillId="0" fontId="8" numFmtId="1" xfId="0" applyAlignment="1" applyBorder="1" applyFont="1" applyNumberFormat="1">
      <alignment shrinkToFit="0" vertical="bottom" wrapText="1"/>
    </xf>
    <xf borderId="17" fillId="0" fontId="8" numFmtId="1" xfId="0" applyAlignment="1" applyBorder="1" applyFont="1" applyNumberFormat="1">
      <alignment horizontal="left" shrinkToFit="0" vertical="bottom" wrapText="0"/>
    </xf>
    <xf borderId="27" fillId="0" fontId="27" numFmtId="0" xfId="0" applyAlignment="1" applyBorder="1" applyFont="1">
      <alignment shrinkToFit="0" vertical="bottom" wrapText="1"/>
    </xf>
    <xf borderId="27" fillId="0" fontId="8" numFmtId="0" xfId="0" applyAlignment="1" applyBorder="1" applyFont="1">
      <alignment horizontal="left" shrinkToFit="0" vertical="bottom" wrapText="1"/>
    </xf>
    <xf borderId="38" fillId="0" fontId="8" numFmtId="0" xfId="0" applyAlignment="1" applyBorder="1" applyFont="1">
      <alignment horizontal="left" shrinkToFit="0" vertical="bottom" wrapText="1"/>
    </xf>
    <xf borderId="38" fillId="0" fontId="8" numFmtId="0" xfId="0" applyAlignment="1" applyBorder="1" applyFont="1">
      <alignment horizontal="center" shrinkToFit="0" vertical="bottom" wrapText="1"/>
    </xf>
    <xf borderId="20" fillId="0" fontId="8" numFmtId="1" xfId="0" applyAlignment="1" applyBorder="1" applyFont="1" applyNumberFormat="1">
      <alignment horizontal="center" shrinkToFit="0" vertical="bottom" wrapText="1"/>
    </xf>
    <xf borderId="27" fillId="0" fontId="27" numFmtId="0" xfId="0" applyAlignment="1" applyBorder="1" applyFont="1">
      <alignment horizontal="left" shrinkToFit="0" vertical="bottom" wrapText="1"/>
    </xf>
    <xf borderId="49" fillId="0" fontId="8" numFmtId="49" xfId="0" applyAlignment="1" applyBorder="1" applyFont="1" applyNumberFormat="1">
      <alignment horizontal="left" shrinkToFit="0" vertical="bottom" wrapText="0"/>
    </xf>
    <xf borderId="50" fillId="0" fontId="8" numFmtId="0" xfId="0" applyAlignment="1" applyBorder="1" applyFont="1">
      <alignment horizontal="left" shrinkToFit="0" vertical="bottom" wrapText="0"/>
    </xf>
    <xf borderId="50" fillId="0" fontId="4" numFmtId="164" xfId="0" applyAlignment="1" applyBorder="1" applyFont="1" applyNumberFormat="1">
      <alignment horizontal="right" shrinkToFit="0" vertical="bottom" wrapText="0"/>
    </xf>
    <xf borderId="50" fillId="0" fontId="8" numFmtId="0" xfId="0" applyAlignment="1" applyBorder="1" applyFont="1">
      <alignment horizontal="center" shrinkToFit="0" vertical="bottom" wrapText="0"/>
    </xf>
    <xf borderId="51" fillId="0" fontId="8" numFmtId="1" xfId="0" applyAlignment="1" applyBorder="1" applyFont="1" applyNumberFormat="1">
      <alignment horizontal="center" shrinkToFit="0" vertical="bottom" wrapText="0"/>
    </xf>
    <xf borderId="20" fillId="0" fontId="8" numFmtId="0" xfId="0" applyAlignment="1" applyBorder="1" applyFont="1">
      <alignment horizontal="center" shrinkToFit="0" vertical="bottom" wrapText="1"/>
    </xf>
    <xf borderId="0" fillId="0" fontId="4" numFmtId="164" xfId="0" applyAlignment="1" applyFont="1" applyNumberFormat="1">
      <alignment horizontal="right" shrinkToFit="0" vertical="bottom" wrapText="0"/>
    </xf>
    <xf borderId="0" fillId="0" fontId="25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bottom" wrapText="1"/>
    </xf>
    <xf borderId="23" fillId="0" fontId="4" numFmtId="49" xfId="0" applyAlignment="1" applyBorder="1" applyFont="1" applyNumberFormat="1">
      <alignment horizontal="center" shrinkToFit="0" vertical="bottom" wrapText="0"/>
    </xf>
    <xf borderId="24" fillId="0" fontId="4" numFmtId="49" xfId="0" applyAlignment="1" applyBorder="1" applyFont="1" applyNumberFormat="1">
      <alignment horizontal="center" shrinkToFit="0" vertical="bottom" wrapText="1"/>
    </xf>
    <xf borderId="24" fillId="0" fontId="4" numFmtId="164" xfId="0" applyAlignment="1" applyBorder="1" applyFont="1" applyNumberFormat="1">
      <alignment horizontal="center" shrinkToFit="0" vertical="bottom" wrapText="0"/>
    </xf>
    <xf borderId="24" fillId="0" fontId="4" numFmtId="0" xfId="0" applyAlignment="1" applyBorder="1" applyFont="1">
      <alignment horizontal="center" shrinkToFit="0" vertical="bottom" wrapText="0"/>
    </xf>
    <xf borderId="24" fillId="0" fontId="4" numFmtId="49" xfId="0" applyAlignment="1" applyBorder="1" applyFont="1" applyNumberFormat="1">
      <alignment horizontal="center" shrinkToFit="0" vertical="bottom" wrapText="0"/>
    </xf>
    <xf borderId="25" fillId="0" fontId="4" numFmtId="49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26" fillId="0" fontId="28" numFmtId="164" xfId="0" applyAlignment="1" applyBorder="1" applyFont="1" applyNumberFormat="1">
      <alignment horizontal="center" shrinkToFit="0" vertical="bottom" wrapText="1"/>
    </xf>
    <xf borderId="0" fillId="0" fontId="8" numFmtId="164" xfId="0" applyAlignment="1" applyFont="1" applyNumberFormat="1">
      <alignment shrinkToFit="0" vertical="bottom" wrapText="0"/>
    </xf>
    <xf borderId="27" fillId="0" fontId="8" numFmtId="2" xfId="0" applyAlignment="1" applyBorder="1" applyFont="1" applyNumberFormat="1">
      <alignment horizontal="center" shrinkToFit="0" vertical="bottom" wrapText="0"/>
    </xf>
    <xf borderId="17" fillId="0" fontId="8" numFmtId="0" xfId="0" applyAlignment="1" applyBorder="1" applyFont="1">
      <alignment shrinkToFit="0" vertical="bottom" wrapText="1"/>
    </xf>
    <xf borderId="27" fillId="0" fontId="8" numFmtId="165" xfId="0" applyAlignment="1" applyBorder="1" applyFont="1" applyNumberFormat="1">
      <alignment horizontal="center" shrinkToFit="0" vertical="bottom" wrapText="0"/>
    </xf>
    <xf borderId="27" fillId="0" fontId="4" numFmtId="0" xfId="0" applyAlignment="1" applyBorder="1" applyFont="1">
      <alignment horizontal="left" shrinkToFit="0" vertical="bottom" wrapText="0"/>
    </xf>
    <xf borderId="27" fillId="0" fontId="4" numFmtId="0" xfId="0" applyAlignment="1" applyBorder="1" applyFont="1">
      <alignment horizontal="center" shrinkToFit="0" vertical="bottom" wrapText="0"/>
    </xf>
    <xf borderId="18" fillId="0" fontId="4" numFmtId="0" xfId="0" applyAlignment="1" applyBorder="1" applyFont="1">
      <alignment horizontal="center" shrinkToFit="0" vertical="bottom" wrapText="0"/>
    </xf>
    <xf borderId="38" fillId="0" fontId="4" numFmtId="0" xfId="0" applyAlignment="1" applyBorder="1" applyFont="1">
      <alignment horizontal="left" shrinkToFit="0" vertical="bottom" wrapText="0"/>
    </xf>
    <xf borderId="27" fillId="2" fontId="8" numFmtId="0" xfId="0" applyAlignment="1" applyBorder="1" applyFont="1">
      <alignment horizontal="center" shrinkToFit="0" vertical="bottom" wrapText="0"/>
    </xf>
    <xf borderId="17" fillId="0" fontId="25" numFmtId="0" xfId="0" applyAlignment="1" applyBorder="1" applyFont="1">
      <alignment horizontal="right" shrinkToFit="0" vertical="bottom" wrapText="0"/>
    </xf>
    <xf borderId="17" fillId="0" fontId="25" numFmtId="0" xfId="0" applyAlignment="1" applyBorder="1" applyFont="1">
      <alignment horizontal="left" shrinkToFit="0" vertical="bottom" wrapText="0"/>
    </xf>
    <xf quotePrefix="1" borderId="17" fillId="0" fontId="8" numFmtId="0" xfId="0" applyAlignment="1" applyBorder="1" applyFont="1">
      <alignment horizontal="left" shrinkToFit="0" vertical="bottom" wrapText="0"/>
    </xf>
    <xf borderId="49" fillId="0" fontId="8" numFmtId="0" xfId="0" applyAlignment="1" applyBorder="1" applyFont="1">
      <alignment horizontal="left" shrinkToFit="0" vertical="bottom" wrapText="0"/>
    </xf>
    <xf borderId="50" fillId="0" fontId="8" numFmtId="0" xfId="0" applyAlignment="1" applyBorder="1" applyFont="1">
      <alignment shrinkToFit="0" vertical="bottom" wrapText="0"/>
    </xf>
    <xf borderId="52" fillId="0" fontId="4" numFmtId="164" xfId="0" applyAlignment="1" applyBorder="1" applyFont="1" applyNumberFormat="1">
      <alignment horizontal="right" shrinkToFit="0" vertical="bottom" wrapText="0"/>
    </xf>
    <xf borderId="53" fillId="0" fontId="8" numFmtId="0" xfId="0" applyAlignment="1" applyBorder="1" applyFont="1">
      <alignment horizontal="center" shrinkToFit="0" vertical="bottom" wrapText="0"/>
    </xf>
    <xf borderId="54" fillId="0" fontId="8" numFmtId="1" xfId="0" applyAlignment="1" applyBorder="1" applyFont="1" applyNumberFormat="1">
      <alignment horizontal="center" shrinkToFit="0" vertical="bottom" wrapText="0"/>
    </xf>
    <xf borderId="31" fillId="0" fontId="8" numFmtId="0" xfId="0" applyAlignment="1" applyBorder="1" applyFont="1">
      <alignment horizontal="left" shrinkToFit="0" vertical="bottom" wrapText="0"/>
    </xf>
    <xf borderId="32" fillId="0" fontId="8" numFmtId="49" xfId="0" applyAlignment="1" applyBorder="1" applyFont="1" applyNumberFormat="1">
      <alignment shrinkToFit="0" vertical="top" wrapText="0"/>
    </xf>
    <xf borderId="32" fillId="0" fontId="8" numFmtId="0" xfId="0" applyAlignment="1" applyBorder="1" applyFont="1">
      <alignment horizontal="center" shrinkToFit="0" vertical="bottom" wrapText="0"/>
    </xf>
    <xf borderId="11" fillId="0" fontId="8" numFmtId="1" xfId="0" applyAlignment="1" applyBorder="1" applyFont="1" applyNumberFormat="1">
      <alignment horizontal="center" shrinkToFit="0" vertical="bottom" wrapText="0"/>
    </xf>
    <xf borderId="26" fillId="0" fontId="8" numFmtId="49" xfId="0" applyAlignment="1" applyBorder="1" applyFont="1" applyNumberFormat="1">
      <alignment shrinkToFit="0" vertical="top" wrapText="0"/>
    </xf>
    <xf borderId="22" fillId="0" fontId="4" numFmtId="164" xfId="0" applyAlignment="1" applyBorder="1" applyFont="1" applyNumberFormat="1">
      <alignment horizontal="right" shrinkToFit="0" vertical="bottom" wrapText="0"/>
    </xf>
    <xf borderId="53" fillId="0" fontId="8" numFmtId="0" xfId="0" applyAlignment="1" applyBorder="1" applyFont="1">
      <alignment shrinkToFit="0" vertical="bottom" wrapText="0"/>
    </xf>
    <xf borderId="32" fillId="0" fontId="4" numFmtId="164" xfId="0" applyAlignment="1" applyBorder="1" applyFont="1" applyNumberFormat="1">
      <alignment horizontal="right" shrinkToFit="0" vertical="bottom" wrapText="0"/>
    </xf>
    <xf borderId="53" fillId="0" fontId="4" numFmtId="164" xfId="0" applyAlignment="1" applyBorder="1" applyFont="1" applyNumberFormat="1">
      <alignment horizontal="right" shrinkToFit="0" vertical="bottom" wrapText="0"/>
    </xf>
    <xf borderId="32" fillId="0" fontId="8" numFmtId="0" xfId="0" applyAlignment="1" applyBorder="1" applyFont="1">
      <alignment shrinkToFit="0" vertical="bottom" wrapText="0"/>
    </xf>
    <xf borderId="55" fillId="0" fontId="4" numFmtId="164" xfId="0" applyAlignment="1" applyBorder="1" applyFont="1" applyNumberFormat="1">
      <alignment horizontal="right" shrinkToFit="0" vertical="bottom" wrapText="0"/>
    </xf>
    <xf borderId="55" fillId="0" fontId="8" numFmtId="0" xfId="0" applyAlignment="1" applyBorder="1" applyFont="1">
      <alignment horizontal="center" shrinkToFit="0" vertical="bottom" wrapText="0"/>
    </xf>
    <xf borderId="35" fillId="0" fontId="8" numFmtId="1" xfId="0" applyAlignment="1" applyBorder="1" applyFont="1" applyNumberFormat="1">
      <alignment horizontal="center" shrinkToFit="0" vertical="bottom" wrapText="0"/>
    </xf>
    <xf borderId="26" fillId="0" fontId="8" numFmtId="0" xfId="0" applyAlignment="1" applyBorder="1" applyFont="1">
      <alignment shrinkToFit="0" vertical="bottom" wrapText="1"/>
    </xf>
    <xf borderId="56" fillId="2" fontId="8" numFmtId="0" xfId="0" applyAlignment="1" applyBorder="1" applyFont="1">
      <alignment horizontal="center" shrinkToFit="0" vertical="bottom" wrapText="0"/>
    </xf>
    <xf borderId="27" fillId="0" fontId="8" numFmtId="166" xfId="0" applyAlignment="1" applyBorder="1" applyFont="1" applyNumberFormat="1">
      <alignment horizontal="left" shrinkToFit="0" vertical="bottom" wrapText="0"/>
    </xf>
    <xf borderId="27" fillId="0" fontId="29" numFmtId="0" xfId="0" applyAlignment="1" applyBorder="1" applyFont="1">
      <alignment horizontal="left" shrinkToFit="0" vertical="bottom" wrapText="0"/>
    </xf>
    <xf borderId="0" fillId="0" fontId="25" numFmtId="0" xfId="0" applyAlignment="1" applyFont="1">
      <alignment shrinkToFit="0" vertical="bottom" wrapText="1"/>
    </xf>
    <xf borderId="25" fillId="0" fontId="4" numFmtId="1" xfId="0" applyAlignment="1" applyBorder="1" applyFont="1" applyNumberFormat="1">
      <alignment horizontal="center" shrinkToFit="0" vertical="bottom" wrapText="0"/>
    </xf>
    <xf borderId="39" fillId="0" fontId="4" numFmtId="0" xfId="0" applyAlignment="1" applyBorder="1" applyFont="1">
      <alignment horizontal="left" shrinkToFit="0" vertical="bottom" wrapText="0"/>
    </xf>
    <xf borderId="26" fillId="0" fontId="30" numFmtId="0" xfId="0" applyAlignment="1" applyBorder="1" applyFont="1">
      <alignment shrinkToFit="0" vertical="bottom" wrapText="0"/>
    </xf>
    <xf borderId="38" fillId="0" fontId="4" numFmtId="164" xfId="0" applyAlignment="1" applyBorder="1" applyFont="1" applyNumberFormat="1">
      <alignment shrinkToFit="0" vertical="bottom" wrapText="0"/>
    </xf>
    <xf borderId="13" fillId="0" fontId="25" numFmtId="0" xfId="0" applyAlignment="1" applyBorder="1" applyFont="1">
      <alignment horizontal="center" shrinkToFit="0" vertical="bottom" wrapText="0"/>
    </xf>
    <xf borderId="13" fillId="0" fontId="6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bottom" wrapText="1"/>
    </xf>
    <xf borderId="48" fillId="0" fontId="8" numFmtId="0" xfId="0" applyAlignment="1" applyBorder="1" applyFont="1">
      <alignment horizontal="center" shrinkToFit="0" vertical="bottom" wrapText="1"/>
    </xf>
    <xf borderId="48" fillId="0" fontId="31" numFmtId="164" xfId="0" applyAlignment="1" applyBorder="1" applyFont="1" applyNumberFormat="1">
      <alignment horizontal="center" shrinkToFit="0" vertical="bottom" wrapText="1"/>
    </xf>
    <xf borderId="16" fillId="0" fontId="8" numFmtId="0" xfId="0" applyAlignment="1" applyBorder="1" applyFont="1">
      <alignment horizontal="center" shrinkToFit="0" vertical="bottom" wrapText="1"/>
    </xf>
    <xf borderId="18" fillId="0" fontId="8" numFmtId="1" xfId="0" applyAlignment="1" applyBorder="1" applyFont="1" applyNumberFormat="1">
      <alignment horizontal="right" shrinkToFit="0" vertical="bottom" wrapText="1"/>
    </xf>
    <xf borderId="0" fillId="0" fontId="8" numFmtId="164" xfId="0" applyAlignment="1" applyFont="1" applyNumberFormat="1">
      <alignment shrinkToFit="0" vertical="center" wrapText="0"/>
    </xf>
    <xf borderId="17" fillId="0" fontId="4" numFmtId="49" xfId="0" applyAlignment="1" applyBorder="1" applyFont="1" applyNumberFormat="1">
      <alignment horizontal="center" shrinkToFit="0" vertical="bottom" wrapText="0"/>
    </xf>
    <xf borderId="27" fillId="0" fontId="4" numFmtId="49" xfId="0" applyAlignment="1" applyBorder="1" applyFont="1" applyNumberFormat="1">
      <alignment horizontal="center" shrinkToFit="0" vertical="bottom" wrapText="0"/>
    </xf>
    <xf borderId="18" fillId="0" fontId="4" numFmtId="49" xfId="0" applyAlignment="1" applyBorder="1" applyFont="1" applyNumberFormat="1">
      <alignment horizontal="center" shrinkToFit="0" vertical="bottom" wrapText="0"/>
    </xf>
    <xf borderId="27" fillId="0" fontId="25" numFmtId="49" xfId="0" applyAlignment="1" applyBorder="1" applyFont="1" applyNumberFormat="1">
      <alignment horizontal="center" shrinkToFit="0" vertical="bottom" wrapText="0"/>
    </xf>
    <xf borderId="18" fillId="0" fontId="8" numFmtId="1" xfId="0" applyAlignment="1" applyBorder="1" applyFont="1" applyNumberFormat="1">
      <alignment horizontal="right" shrinkToFit="0" vertical="bottom" wrapText="0"/>
    </xf>
    <xf borderId="27" fillId="0" fontId="8" numFmtId="49" xfId="0" applyAlignment="1" applyBorder="1" applyFont="1" applyNumberFormat="1">
      <alignment horizontal="left" shrinkToFit="0" vertical="bottom" wrapText="0"/>
    </xf>
    <xf borderId="27" fillId="0" fontId="8" numFmtId="49" xfId="0" applyAlignment="1" applyBorder="1" applyFont="1" applyNumberFormat="1">
      <alignment horizontal="center" shrinkToFit="0" vertical="bottom" wrapText="0"/>
    </xf>
    <xf borderId="18" fillId="0" fontId="8" numFmtId="166" xfId="0" applyAlignment="1" applyBorder="1" applyFont="1" applyNumberFormat="1">
      <alignment horizontal="right" shrinkToFit="0" vertical="bottom" wrapText="0"/>
    </xf>
    <xf borderId="38" fillId="0" fontId="8" numFmtId="49" xfId="0" applyAlignment="1" applyBorder="1" applyFont="1" applyNumberFormat="1">
      <alignment horizontal="left" shrinkToFit="0" vertical="bottom" wrapText="0"/>
    </xf>
    <xf borderId="38" fillId="0" fontId="8" numFmtId="49" xfId="0" applyAlignment="1" applyBorder="1" applyFont="1" applyNumberFormat="1">
      <alignment horizontal="center" shrinkToFit="0" vertical="bottom" wrapText="0"/>
    </xf>
    <xf borderId="20" fillId="0" fontId="8" numFmtId="166" xfId="0" applyAlignment="1" applyBorder="1" applyFont="1" applyNumberFormat="1">
      <alignment horizontal="right" shrinkToFit="0" vertical="bottom" wrapText="0"/>
    </xf>
    <xf borderId="0" fillId="0" fontId="32" numFmtId="0" xfId="0" applyAlignment="1" applyFont="1">
      <alignment shrinkToFit="0" vertical="top" wrapText="1"/>
    </xf>
    <xf borderId="0" fillId="0" fontId="33" numFmtId="0" xfId="0" applyAlignment="1" applyFont="1">
      <alignment horizontal="center" shrinkToFit="0" vertical="bottom" wrapText="0"/>
    </xf>
    <xf borderId="13" fillId="0" fontId="34" numFmtId="0" xfId="0" applyAlignment="1" applyBorder="1" applyFont="1">
      <alignment horizontal="center" shrinkToFit="0" vertical="bottom" wrapText="0"/>
    </xf>
    <xf borderId="28" fillId="6" fontId="35" numFmtId="0" xfId="0" applyAlignment="1" applyBorder="1" applyFill="1" applyFont="1">
      <alignment horizontal="center" shrinkToFit="0" vertical="bottom" wrapText="0"/>
    </xf>
    <xf borderId="23" fillId="0" fontId="36" numFmtId="49" xfId="0" applyAlignment="1" applyBorder="1" applyFont="1" applyNumberFormat="1">
      <alignment horizontal="center" shrinkToFit="0" vertical="bottom" wrapText="0"/>
    </xf>
    <xf borderId="24" fillId="0" fontId="36" numFmtId="49" xfId="0" applyAlignment="1" applyBorder="1" applyFont="1" applyNumberFormat="1">
      <alignment horizontal="center" shrinkToFit="0" vertical="bottom" wrapText="0"/>
    </xf>
    <xf borderId="24" fillId="0" fontId="36" numFmtId="10" xfId="0" applyAlignment="1" applyBorder="1" applyFont="1" applyNumberFormat="1">
      <alignment horizontal="center" shrinkToFit="0" vertical="bottom" wrapText="0"/>
    </xf>
    <xf borderId="25" fillId="0" fontId="36" numFmtId="49" xfId="0" applyAlignment="1" applyBorder="1" applyFont="1" applyNumberFormat="1">
      <alignment horizontal="center" shrinkToFit="0" vertical="bottom" wrapText="0"/>
    </xf>
    <xf borderId="0" fillId="0" fontId="32" numFmtId="0" xfId="0" applyAlignment="1" applyFont="1">
      <alignment horizontal="center" shrinkToFit="0" vertical="top" wrapText="1"/>
    </xf>
    <xf borderId="57" fillId="0" fontId="37" numFmtId="0" xfId="0" applyAlignment="1" applyBorder="1" applyFont="1">
      <alignment horizontal="center" shrinkToFit="0" vertical="bottom" wrapText="0"/>
    </xf>
    <xf borderId="55" fillId="0" fontId="6" numFmtId="0" xfId="0" applyAlignment="1" applyBorder="1" applyFont="1">
      <alignment shrinkToFit="0" vertical="top" wrapText="1"/>
    </xf>
    <xf borderId="17" fillId="0" fontId="32" numFmtId="0" xfId="0" applyAlignment="1" applyBorder="1" applyFont="1">
      <alignment shrinkToFit="0" vertical="top" wrapText="0"/>
    </xf>
    <xf borderId="27" fillId="0" fontId="32" numFmtId="0" xfId="0" applyAlignment="1" applyBorder="1" applyFont="1">
      <alignment shrinkToFit="0" vertical="bottom" wrapText="0"/>
    </xf>
    <xf borderId="27" fillId="0" fontId="32" numFmtId="167" xfId="0" applyAlignment="1" applyBorder="1" applyFont="1" applyNumberFormat="1">
      <alignment shrinkToFit="0" vertical="center" wrapText="0"/>
    </xf>
    <xf borderId="18" fillId="0" fontId="32" numFmtId="1" xfId="0" applyAlignment="1" applyBorder="1" applyFont="1" applyNumberFormat="1">
      <alignment horizontal="right" shrinkToFit="0" vertical="center" wrapText="0"/>
    </xf>
    <xf borderId="17" fillId="0" fontId="38" numFmtId="0" xfId="0" applyAlignment="1" applyBorder="1" applyFont="1">
      <alignment shrinkToFit="0" vertical="center" wrapText="0"/>
    </xf>
    <xf borderId="27" fillId="0" fontId="36" numFmtId="0" xfId="0" applyAlignment="1" applyBorder="1" applyFont="1">
      <alignment horizontal="center" shrinkToFit="0" vertical="center" wrapText="0"/>
    </xf>
    <xf borderId="27" fillId="0" fontId="36" numFmtId="0" xfId="0" applyAlignment="1" applyBorder="1" applyFont="1">
      <alignment horizontal="center" shrinkToFit="0" vertical="center" wrapText="1"/>
    </xf>
    <xf borderId="18" fillId="0" fontId="36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shrinkToFit="0" vertical="top" wrapText="1"/>
    </xf>
    <xf borderId="27" fillId="0" fontId="32" numFmtId="0" xfId="0" applyAlignment="1" applyBorder="1" applyFont="1">
      <alignment horizontal="left" shrinkToFit="0" vertical="bottom" wrapText="0"/>
    </xf>
    <xf borderId="27" fillId="6" fontId="35" numFmtId="167" xfId="0" applyAlignment="1" applyBorder="1" applyFont="1" applyNumberFormat="1">
      <alignment shrinkToFit="0" vertical="bottom" wrapText="0"/>
    </xf>
    <xf borderId="18" fillId="6" fontId="35" numFmtId="167" xfId="0" applyAlignment="1" applyBorder="1" applyFont="1" applyNumberFormat="1">
      <alignment shrinkToFit="0" vertical="bottom" wrapText="0"/>
    </xf>
    <xf borderId="0" fillId="0" fontId="32" numFmtId="168" xfId="0" applyAlignment="1" applyFont="1" applyNumberFormat="1">
      <alignment shrinkToFit="0" vertical="top" wrapText="1"/>
    </xf>
    <xf borderId="58" fillId="0" fontId="36" numFmtId="0" xfId="0" applyAlignment="1" applyBorder="1" applyFont="1">
      <alignment horizontal="center" shrinkToFit="0" vertical="top" wrapText="1"/>
    </xf>
    <xf borderId="59" fillId="0" fontId="6" numFmtId="0" xfId="0" applyAlignment="1" applyBorder="1" applyFont="1">
      <alignment shrinkToFit="0" vertical="top" wrapText="1"/>
    </xf>
    <xf borderId="58" fillId="0" fontId="32" numFmtId="0" xfId="0" applyAlignment="1" applyBorder="1" applyFont="1">
      <alignment horizontal="center" shrinkToFit="0" vertical="bottom" wrapText="0"/>
    </xf>
    <xf borderId="58" fillId="0" fontId="40" numFmtId="0" xfId="0" applyAlignment="1" applyBorder="1" applyFont="1">
      <alignment horizontal="center" shrinkToFit="0" vertical="bottom" wrapText="0"/>
    </xf>
    <xf borderId="27" fillId="6" fontId="35" numFmtId="167" xfId="0" applyAlignment="1" applyBorder="1" applyFont="1" applyNumberFormat="1">
      <alignment shrinkToFit="0" vertical="center" wrapText="0"/>
    </xf>
    <xf borderId="17" fillId="0" fontId="32" numFmtId="0" xfId="0" applyAlignment="1" applyBorder="1" applyFont="1">
      <alignment shrinkToFit="0" vertical="top" wrapText="1"/>
    </xf>
    <xf borderId="27" fillId="0" fontId="32" numFmtId="0" xfId="0" applyAlignment="1" applyBorder="1" applyFont="1">
      <alignment shrinkToFit="0" vertical="top" wrapText="1"/>
    </xf>
    <xf borderId="18" fillId="0" fontId="32" numFmtId="1" xfId="0" applyAlignment="1" applyBorder="1" applyFont="1" applyNumberFormat="1">
      <alignment horizontal="right" shrinkToFit="0" vertical="bottom" wrapText="0"/>
    </xf>
    <xf borderId="17" fillId="0" fontId="32" numFmtId="0" xfId="0" applyAlignment="1" applyBorder="1" applyFont="1">
      <alignment horizontal="center" shrinkToFit="0" vertical="bottom" wrapText="0"/>
    </xf>
    <xf borderId="27" fillId="0" fontId="32" numFmtId="0" xfId="0" applyAlignment="1" applyBorder="1" applyFont="1">
      <alignment horizontal="center" shrinkToFit="0" vertical="bottom" wrapText="0"/>
    </xf>
    <xf borderId="18" fillId="0" fontId="32" numFmtId="0" xfId="0" applyAlignment="1" applyBorder="1" applyFont="1">
      <alignment horizontal="center" shrinkToFit="0" vertical="bottom" wrapText="0"/>
    </xf>
    <xf borderId="19" fillId="0" fontId="32" numFmtId="0" xfId="0" applyAlignment="1" applyBorder="1" applyFont="1">
      <alignment shrinkToFit="0" vertical="bottom" wrapText="1"/>
    </xf>
    <xf borderId="38" fillId="0" fontId="32" numFmtId="0" xfId="0" applyAlignment="1" applyBorder="1" applyFont="1">
      <alignment shrinkToFit="0" vertical="bottom" wrapText="1"/>
    </xf>
    <xf borderId="38" fillId="0" fontId="35" numFmtId="164" xfId="0" applyAlignment="1" applyBorder="1" applyFont="1" applyNumberFormat="1">
      <alignment horizontal="left" shrinkToFit="0" vertical="bottom" wrapText="0"/>
    </xf>
    <xf borderId="38" fillId="0" fontId="32" numFmtId="0" xfId="0" applyAlignment="1" applyBorder="1" applyFont="1">
      <alignment horizontal="right" shrinkToFit="0" vertical="bottom" wrapText="1"/>
    </xf>
    <xf borderId="38" fillId="0" fontId="32" numFmtId="0" xfId="0" applyAlignment="1" applyBorder="1" applyFont="1">
      <alignment horizontal="center" shrinkToFit="0" vertical="bottom" wrapText="0"/>
    </xf>
    <xf borderId="20" fillId="0" fontId="32" numFmtId="1" xfId="0" applyAlignment="1" applyBorder="1" applyFont="1" applyNumberFormat="1">
      <alignment shrinkToFit="0" vertical="bottom" wrapText="0"/>
    </xf>
    <xf borderId="0" fillId="0" fontId="41" numFmtId="0" xfId="0" applyAlignment="1" applyFont="1">
      <alignment horizontal="center" shrinkToFit="0" vertical="bottom" wrapText="0"/>
    </xf>
    <xf borderId="0" fillId="0" fontId="41" numFmtId="0" xfId="0" applyAlignment="1" applyFont="1">
      <alignment horizontal="center" shrinkToFit="0" vertical="bottom" wrapText="1"/>
    </xf>
    <xf borderId="0" fillId="0" fontId="32" numFmtId="0" xfId="0" applyAlignment="1" applyFont="1">
      <alignment horizontal="left" shrinkToFit="0" vertical="bottom" wrapText="0"/>
    </xf>
    <xf borderId="0" fillId="0" fontId="32" numFmtId="167" xfId="0" applyAlignment="1" applyFont="1" applyNumberFormat="1">
      <alignment shrinkToFit="0" vertical="bottom" wrapText="0"/>
    </xf>
    <xf borderId="0" fillId="0" fontId="3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6.png"/><Relationship Id="rId3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05425" cy="11906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0</xdr:row>
      <xdr:rowOff>0</xdr:rowOff>
    </xdr:from>
    <xdr:ext cx="1647825" cy="647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1400175</xdr:colOff>
      <xdr:row>1</xdr:row>
      <xdr:rowOff>238125</xdr:rowOff>
    </xdr:from>
    <xdr:ext cx="2190750" cy="6096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6410325" cy="12763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0</xdr:row>
      <xdr:rowOff>9525</xdr:rowOff>
    </xdr:from>
    <xdr:ext cx="1781175" cy="7143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2</xdr:row>
      <xdr:rowOff>104775</xdr:rowOff>
    </xdr:from>
    <xdr:ext cx="2305050" cy="6572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3324225</xdr:colOff>
      <xdr:row>0</xdr:row>
      <xdr:rowOff>85725</xdr:rowOff>
    </xdr:from>
    <xdr:ext cx="2095500" cy="5619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905250" cy="8286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3324225</xdr:colOff>
      <xdr:row>0</xdr:row>
      <xdr:rowOff>85725</xdr:rowOff>
    </xdr:from>
    <xdr:ext cx="2095500" cy="5619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905250" cy="8286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2933700</xdr:colOff>
      <xdr:row>0</xdr:row>
      <xdr:rowOff>0</xdr:rowOff>
    </xdr:from>
    <xdr:ext cx="1438275" cy="5429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2705100</xdr:colOff>
      <xdr:row>2</xdr:row>
      <xdr:rowOff>114300</xdr:rowOff>
    </xdr:from>
    <xdr:ext cx="1800225" cy="51435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152900" cy="86677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3000375</xdr:colOff>
      <xdr:row>1</xdr:row>
      <xdr:rowOff>76200</xdr:rowOff>
    </xdr:from>
    <xdr:ext cx="1533525" cy="6572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971925" cy="8382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152900" cy="86677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0</xdr:row>
      <xdr:rowOff>85725</xdr:rowOff>
    </xdr:from>
    <xdr:ext cx="2257425" cy="6096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133850" cy="89535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3667125</xdr:colOff>
      <xdr:row>0</xdr:row>
      <xdr:rowOff>104775</xdr:rowOff>
    </xdr:from>
    <xdr:ext cx="276225" cy="37147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3000375</xdr:colOff>
      <xdr:row>0</xdr:row>
      <xdr:rowOff>171450</xdr:rowOff>
    </xdr:from>
    <xdr:ext cx="1828800" cy="5429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886200" cy="8858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95775" cy="952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areline@freedomstationery.co.za" TargetMode="External"/><Relationship Id="rId2" Type="http://schemas.openxmlformats.org/officeDocument/2006/relationships/hyperlink" Target="mailto:sales@freedomstationery.co.za" TargetMode="External"/><Relationship Id="rId3" Type="http://schemas.openxmlformats.org/officeDocument/2006/relationships/hyperlink" Target="mailto:gpsales@freedomstationery.co.za" TargetMode="External"/><Relationship Id="rId4" Type="http://schemas.openxmlformats.org/officeDocument/2006/relationships/hyperlink" Target="mailto:cptsales@freedomstationery.co.za" TargetMode="External"/><Relationship Id="rId5" Type="http://schemas.openxmlformats.org/officeDocument/2006/relationships/hyperlink" Target="mailto:elsales@freedomstationery.co.za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4" width="20.75"/>
    <col customWidth="1" min="5" max="5" width="35.75"/>
    <col customWidth="1" min="6" max="26" width="9.13"/>
  </cols>
  <sheetData>
    <row r="1" ht="13.5" customHeight="1">
      <c r="A1" s="1"/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"/>
      <c r="B2" s="2"/>
      <c r="C2" s="2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/>
      <c r="B3" s="6"/>
      <c r="C3" s="6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5"/>
      <c r="B4" s="6"/>
      <c r="C4" s="6"/>
      <c r="D4" s="3"/>
      <c r="E4" s="3"/>
      <c r="F4" s="4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8" t="s">
        <v>0</v>
      </c>
      <c r="B5" s="9"/>
      <c r="C5" s="9"/>
      <c r="D5" s="9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1</v>
      </c>
      <c r="B6" s="12"/>
      <c r="C6" s="12"/>
      <c r="D6" s="12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4" t="s">
        <v>2</v>
      </c>
      <c r="B7" s="15" t="s">
        <v>3</v>
      </c>
      <c r="C7" s="15" t="s">
        <v>4</v>
      </c>
      <c r="D7" s="16" t="s">
        <v>5</v>
      </c>
      <c r="E7" s="17" t="s">
        <v>6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3.5" customHeight="1">
      <c r="A8" s="19" t="s">
        <v>7</v>
      </c>
      <c r="B8" s="20" t="s">
        <v>8</v>
      </c>
      <c r="C8" s="20" t="s">
        <v>9</v>
      </c>
      <c r="D8" s="21" t="s">
        <v>10</v>
      </c>
      <c r="E8" s="22" t="s">
        <v>11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3.5" customHeight="1">
      <c r="A9" s="19"/>
      <c r="B9" s="20"/>
      <c r="C9" s="20"/>
      <c r="D9" s="21" t="s">
        <v>12</v>
      </c>
      <c r="E9" s="22" t="s">
        <v>13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3.5" customHeight="1">
      <c r="A10" s="23"/>
      <c r="B10" s="21" t="s">
        <v>14</v>
      </c>
      <c r="C10" s="24" t="s">
        <v>15</v>
      </c>
      <c r="D10" s="21" t="s">
        <v>16</v>
      </c>
      <c r="E10" s="22" t="s">
        <v>17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3.5" customHeight="1">
      <c r="A11" s="25"/>
      <c r="B11" s="26" t="s">
        <v>18</v>
      </c>
      <c r="C11" s="27" t="s">
        <v>19</v>
      </c>
      <c r="D11" s="28" t="s">
        <v>20</v>
      </c>
      <c r="E11" s="29" t="s">
        <v>21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3.5" customHeight="1">
      <c r="A12" s="30" t="s">
        <v>22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1" t="s">
        <v>23</v>
      </c>
      <c r="B13" s="9"/>
      <c r="C13" s="9"/>
      <c r="D13" s="9"/>
      <c r="E13" s="1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31" t="s">
        <v>24</v>
      </c>
      <c r="B14" s="9"/>
      <c r="C14" s="9"/>
      <c r="D14" s="9"/>
      <c r="E14" s="1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31" t="s">
        <v>25</v>
      </c>
      <c r="B15" s="9"/>
      <c r="C15" s="9"/>
      <c r="D15" s="9"/>
      <c r="E15" s="1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32" t="s">
        <v>26</v>
      </c>
      <c r="B16" s="9"/>
      <c r="C16" s="9"/>
      <c r="D16" s="9"/>
      <c r="E16" s="10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3.5" customHeight="1">
      <c r="A17" s="32" t="s">
        <v>27</v>
      </c>
      <c r="B17" s="9"/>
      <c r="C17" s="9"/>
      <c r="D17" s="9"/>
      <c r="E17" s="10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5" customHeight="1">
      <c r="A18" s="32" t="s">
        <v>28</v>
      </c>
      <c r="B18" s="9"/>
      <c r="C18" s="9"/>
      <c r="D18" s="9"/>
      <c r="E18" s="10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3.5" customHeight="1">
      <c r="A19" s="32" t="s">
        <v>29</v>
      </c>
      <c r="B19" s="9"/>
      <c r="C19" s="9"/>
      <c r="D19" s="9"/>
      <c r="E19" s="1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3.5" customHeight="1">
      <c r="A20" s="32" t="s">
        <v>30</v>
      </c>
      <c r="B20" s="9"/>
      <c r="C20" s="9"/>
      <c r="D20" s="9"/>
      <c r="E20" s="10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3.5" customHeight="1">
      <c r="A21" s="32" t="s">
        <v>31</v>
      </c>
      <c r="B21" s="9"/>
      <c r="C21" s="9"/>
      <c r="D21" s="9"/>
      <c r="E21" s="10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3.5" customHeight="1">
      <c r="A22" s="32" t="s">
        <v>32</v>
      </c>
      <c r="B22" s="9"/>
      <c r="C22" s="9"/>
      <c r="D22" s="9"/>
      <c r="E22" s="10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32" t="s">
        <v>33</v>
      </c>
      <c r="B23" s="9"/>
      <c r="C23" s="9"/>
      <c r="D23" s="9"/>
      <c r="E23" s="10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33" t="s">
        <v>34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33" t="s">
        <v>35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33" t="s">
        <v>36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33" t="s">
        <v>37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33" t="s">
        <v>38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33" t="s">
        <v>39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33" t="s">
        <v>40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33" t="s">
        <v>41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3.5" customHeight="1">
      <c r="A32" s="33" t="s">
        <v>42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33" t="s">
        <v>43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33" t="s">
        <v>44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33" t="s">
        <v>45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33" t="s">
        <v>46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33" t="s">
        <v>47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33" t="s">
        <v>48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33" t="s">
        <v>49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33" t="s">
        <v>50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33" t="s">
        <v>51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34" t="s">
        <v>52</v>
      </c>
      <c r="B42" s="9"/>
      <c r="C42" s="9"/>
      <c r="D42" s="9"/>
      <c r="E42" s="10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35" t="s">
        <v>53</v>
      </c>
      <c r="B43" s="9"/>
      <c r="C43" s="9"/>
      <c r="D43" s="9"/>
      <c r="E43" s="10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35" t="s">
        <v>54</v>
      </c>
      <c r="B44" s="9"/>
      <c r="C44" s="9"/>
      <c r="D44" s="9"/>
      <c r="E44" s="10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36" t="s">
        <v>55</v>
      </c>
      <c r="B45" s="9"/>
      <c r="C45" s="9"/>
      <c r="D45" s="9"/>
      <c r="E45" s="10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36" t="s">
        <v>56</v>
      </c>
      <c r="B46" s="9"/>
      <c r="C46" s="9"/>
      <c r="D46" s="9"/>
      <c r="E46" s="10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36" t="s">
        <v>57</v>
      </c>
      <c r="B47" s="9"/>
      <c r="C47" s="9"/>
      <c r="D47" s="9"/>
      <c r="E47" s="10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36" t="s">
        <v>58</v>
      </c>
      <c r="B48" s="9"/>
      <c r="C48" s="9"/>
      <c r="D48" s="9"/>
      <c r="E48" s="10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36" t="s">
        <v>59</v>
      </c>
      <c r="B49" s="9"/>
      <c r="C49" s="9"/>
      <c r="D49" s="9"/>
      <c r="E49" s="10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36" t="s">
        <v>60</v>
      </c>
      <c r="B50" s="9"/>
      <c r="C50" s="9"/>
      <c r="D50" s="9"/>
      <c r="E50" s="10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36" t="s">
        <v>61</v>
      </c>
      <c r="B51" s="9"/>
      <c r="C51" s="9"/>
      <c r="D51" s="9"/>
      <c r="E51" s="10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36" t="s">
        <v>62</v>
      </c>
      <c r="B52" s="9"/>
      <c r="C52" s="9"/>
      <c r="D52" s="9"/>
      <c r="E52" s="10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36" t="s">
        <v>63</v>
      </c>
      <c r="B53" s="9"/>
      <c r="C53" s="9"/>
      <c r="D53" s="9"/>
      <c r="E53" s="10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36" t="s">
        <v>64</v>
      </c>
      <c r="B54" s="9"/>
      <c r="C54" s="9"/>
      <c r="D54" s="9"/>
      <c r="E54" s="10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36" t="s">
        <v>65</v>
      </c>
      <c r="B55" s="9"/>
      <c r="C55" s="9"/>
      <c r="D55" s="9"/>
      <c r="E55" s="10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3.5" customHeight="1">
      <c r="A56" s="36" t="s">
        <v>66</v>
      </c>
      <c r="B56" s="9"/>
      <c r="C56" s="9"/>
      <c r="D56" s="9"/>
      <c r="E56" s="10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3.5" customHeight="1">
      <c r="A57" s="36" t="s">
        <v>67</v>
      </c>
      <c r="B57" s="9"/>
      <c r="C57" s="9"/>
      <c r="D57" s="9"/>
      <c r="E57" s="10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36" t="s">
        <v>68</v>
      </c>
      <c r="B58" s="9"/>
      <c r="C58" s="9"/>
      <c r="D58" s="9"/>
      <c r="E58" s="10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36" t="s">
        <v>69</v>
      </c>
      <c r="B59" s="9"/>
      <c r="C59" s="9"/>
      <c r="D59" s="9"/>
      <c r="E59" s="10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36" t="s">
        <v>70</v>
      </c>
      <c r="B60" s="9"/>
      <c r="C60" s="9"/>
      <c r="D60" s="9"/>
      <c r="E60" s="10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36" t="s">
        <v>71</v>
      </c>
      <c r="B61" s="9"/>
      <c r="C61" s="9"/>
      <c r="D61" s="9"/>
      <c r="E61" s="10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36" t="s">
        <v>72</v>
      </c>
      <c r="B62" s="9"/>
      <c r="C62" s="9"/>
      <c r="D62" s="9"/>
      <c r="E62" s="10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33" t="s">
        <v>73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33" t="s">
        <v>74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20" t="s">
        <v>75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33" t="s">
        <v>76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33" t="s">
        <v>77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33" t="s">
        <v>78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33" t="s">
        <v>79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37"/>
      <c r="B70" s="38"/>
      <c r="C70" s="38"/>
      <c r="D70" s="38"/>
      <c r="E70" s="3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7"/>
      <c r="B71" s="38"/>
      <c r="C71" s="38"/>
      <c r="D71" s="38"/>
      <c r="E71" s="3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7"/>
      <c r="B72" s="38"/>
      <c r="C72" s="38"/>
      <c r="D72" s="38"/>
      <c r="E72" s="3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7"/>
      <c r="B73" s="38"/>
      <c r="C73" s="38"/>
      <c r="D73" s="38"/>
      <c r="E73" s="3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7"/>
      <c r="B74" s="38"/>
      <c r="C74" s="38"/>
      <c r="D74" s="38"/>
      <c r="E74" s="3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7"/>
      <c r="B75" s="38"/>
      <c r="C75" s="38"/>
      <c r="D75" s="38"/>
      <c r="E75" s="3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7"/>
      <c r="B76" s="38"/>
      <c r="C76" s="38"/>
      <c r="D76" s="38"/>
      <c r="E76" s="3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7"/>
      <c r="B77" s="38"/>
      <c r="C77" s="38"/>
      <c r="D77" s="38"/>
      <c r="E77" s="3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7"/>
      <c r="B78" s="38"/>
      <c r="C78" s="38"/>
      <c r="D78" s="38"/>
      <c r="E78" s="3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7"/>
      <c r="B79" s="38"/>
      <c r="C79" s="38"/>
      <c r="D79" s="38"/>
      <c r="E79" s="3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7"/>
      <c r="B80" s="38"/>
      <c r="C80" s="38"/>
      <c r="D80" s="38"/>
      <c r="E80" s="3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7"/>
      <c r="B81" s="38"/>
      <c r="C81" s="38"/>
      <c r="D81" s="38"/>
      <c r="E81" s="3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7"/>
      <c r="B82" s="38"/>
      <c r="C82" s="38"/>
      <c r="D82" s="38"/>
      <c r="E82" s="3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7"/>
      <c r="B83" s="38"/>
      <c r="C83" s="38"/>
      <c r="D83" s="38"/>
      <c r="E83" s="3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7"/>
      <c r="B84" s="38"/>
      <c r="C84" s="38"/>
      <c r="D84" s="38"/>
      <c r="E84" s="3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7"/>
      <c r="B85" s="38"/>
      <c r="C85" s="38"/>
      <c r="D85" s="38"/>
      <c r="E85" s="3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7"/>
      <c r="B86" s="38"/>
      <c r="C86" s="38"/>
      <c r="D86" s="38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7"/>
      <c r="B87" s="38"/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7"/>
      <c r="B88" s="38"/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7"/>
      <c r="B89" s="38"/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7"/>
      <c r="B90" s="38"/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7"/>
      <c r="B91" s="38"/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7"/>
      <c r="B92" s="38"/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7"/>
      <c r="B93" s="38"/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7"/>
      <c r="B94" s="38"/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7"/>
      <c r="B95" s="38"/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7"/>
      <c r="B96" s="38"/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7"/>
      <c r="B97" s="38"/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7"/>
      <c r="B98" s="38"/>
      <c r="C98" s="38"/>
      <c r="D98" s="38"/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7"/>
      <c r="B99" s="38"/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7"/>
      <c r="B100" s="38"/>
      <c r="C100" s="38"/>
      <c r="D100" s="38"/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7"/>
      <c r="B101" s="38"/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7"/>
      <c r="B102" s="38"/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7"/>
      <c r="B103" s="38"/>
      <c r="C103" s="38"/>
      <c r="D103" s="38"/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7"/>
      <c r="B104" s="38"/>
      <c r="C104" s="38"/>
      <c r="D104" s="38"/>
      <c r="E104" s="3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7"/>
      <c r="B105" s="38"/>
      <c r="C105" s="38"/>
      <c r="D105" s="38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7"/>
      <c r="B106" s="38"/>
      <c r="C106" s="38"/>
      <c r="D106" s="38"/>
      <c r="E106" s="3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7"/>
      <c r="B107" s="38"/>
      <c r="C107" s="38"/>
      <c r="D107" s="38"/>
      <c r="E107" s="3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7"/>
      <c r="B108" s="38"/>
      <c r="C108" s="38"/>
      <c r="D108" s="38"/>
      <c r="E108" s="3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7"/>
      <c r="B109" s="38"/>
      <c r="C109" s="38"/>
      <c r="D109" s="38"/>
      <c r="E109" s="3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7"/>
      <c r="B110" s="38"/>
      <c r="C110" s="38"/>
      <c r="D110" s="38"/>
      <c r="E110" s="3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7"/>
      <c r="B111" s="38"/>
      <c r="C111" s="38"/>
      <c r="D111" s="38"/>
      <c r="E111" s="3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7"/>
      <c r="B112" s="38"/>
      <c r="C112" s="38"/>
      <c r="D112" s="38"/>
      <c r="E112" s="3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37"/>
      <c r="B113" s="38"/>
      <c r="C113" s="38"/>
      <c r="D113" s="38"/>
      <c r="E113" s="3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37"/>
      <c r="B114" s="38"/>
      <c r="C114" s="38"/>
      <c r="D114" s="38"/>
      <c r="E114" s="3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37"/>
      <c r="B115" s="38"/>
      <c r="C115" s="38"/>
      <c r="D115" s="38"/>
      <c r="E115" s="3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37"/>
      <c r="B116" s="38"/>
      <c r="C116" s="38"/>
      <c r="D116" s="38"/>
      <c r="E116" s="3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37"/>
      <c r="B117" s="38"/>
      <c r="C117" s="38"/>
      <c r="D117" s="38"/>
      <c r="E117" s="3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37"/>
      <c r="B118" s="38"/>
      <c r="C118" s="38"/>
      <c r="D118" s="38"/>
      <c r="E118" s="3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37"/>
      <c r="B119" s="38"/>
      <c r="C119" s="38"/>
      <c r="D119" s="38"/>
      <c r="E119" s="3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37"/>
      <c r="B120" s="38"/>
      <c r="C120" s="38"/>
      <c r="D120" s="38"/>
      <c r="E120" s="3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37"/>
      <c r="B121" s="38"/>
      <c r="C121" s="38"/>
      <c r="D121" s="38"/>
      <c r="E121" s="3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37"/>
      <c r="B122" s="38"/>
      <c r="C122" s="38"/>
      <c r="D122" s="38"/>
      <c r="E122" s="3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37"/>
      <c r="B123" s="38"/>
      <c r="C123" s="38"/>
      <c r="D123" s="38"/>
      <c r="E123" s="3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37"/>
      <c r="B124" s="38"/>
      <c r="C124" s="38"/>
      <c r="D124" s="38"/>
      <c r="E124" s="3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37"/>
      <c r="B125" s="38"/>
      <c r="C125" s="38"/>
      <c r="D125" s="38"/>
      <c r="E125" s="3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37"/>
      <c r="B126" s="38"/>
      <c r="C126" s="38"/>
      <c r="D126" s="38"/>
      <c r="E126" s="3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37"/>
      <c r="B127" s="38"/>
      <c r="C127" s="38"/>
      <c r="D127" s="38"/>
      <c r="E127" s="3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37"/>
      <c r="B128" s="38"/>
      <c r="C128" s="38"/>
      <c r="D128" s="38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37"/>
      <c r="B129" s="38"/>
      <c r="C129" s="38"/>
      <c r="D129" s="38"/>
      <c r="E129" s="3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37"/>
      <c r="B130" s="38"/>
      <c r="C130" s="38"/>
      <c r="D130" s="38"/>
      <c r="E130" s="3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37"/>
      <c r="B131" s="38"/>
      <c r="C131" s="38"/>
      <c r="D131" s="38"/>
      <c r="E131" s="3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37"/>
      <c r="B132" s="38"/>
      <c r="C132" s="38"/>
      <c r="D132" s="38"/>
      <c r="E132" s="3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37"/>
      <c r="B133" s="38"/>
      <c r="C133" s="38"/>
      <c r="D133" s="38"/>
      <c r="E133" s="3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37"/>
      <c r="B134" s="38"/>
      <c r="C134" s="38"/>
      <c r="D134" s="38"/>
      <c r="E134" s="3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37"/>
      <c r="B135" s="38"/>
      <c r="C135" s="38"/>
      <c r="D135" s="38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37"/>
      <c r="B136" s="38"/>
      <c r="C136" s="38"/>
      <c r="D136" s="38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37"/>
      <c r="B137" s="38"/>
      <c r="C137" s="38"/>
      <c r="D137" s="38"/>
      <c r="E137" s="3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37"/>
      <c r="B138" s="38"/>
      <c r="C138" s="38"/>
      <c r="D138" s="38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37"/>
      <c r="B139" s="38"/>
      <c r="C139" s="38"/>
      <c r="D139" s="38"/>
      <c r="E139" s="3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37"/>
      <c r="B140" s="38"/>
      <c r="C140" s="38"/>
      <c r="D140" s="38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37"/>
      <c r="B141" s="38"/>
      <c r="C141" s="38"/>
      <c r="D141" s="38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37"/>
      <c r="B142" s="38"/>
      <c r="C142" s="38"/>
      <c r="D142" s="38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37"/>
      <c r="B143" s="38"/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37"/>
      <c r="B144" s="38"/>
      <c r="C144" s="38"/>
      <c r="D144" s="38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37"/>
      <c r="B145" s="38"/>
      <c r="C145" s="38"/>
      <c r="D145" s="38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37"/>
      <c r="B146" s="38"/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37"/>
      <c r="B147" s="38"/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37"/>
      <c r="B148" s="38"/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37"/>
      <c r="B149" s="38"/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37"/>
      <c r="B150" s="38"/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37"/>
      <c r="B151" s="38"/>
      <c r="C151" s="38"/>
      <c r="D151" s="38"/>
      <c r="E151" s="3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37"/>
      <c r="B152" s="38"/>
      <c r="C152" s="38"/>
      <c r="D152" s="38"/>
      <c r="E152" s="3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37"/>
      <c r="B153" s="38"/>
      <c r="C153" s="38"/>
      <c r="D153" s="38"/>
      <c r="E153" s="3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37"/>
      <c r="B154" s="38"/>
      <c r="C154" s="38"/>
      <c r="D154" s="38"/>
      <c r="E154" s="3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37"/>
      <c r="B155" s="38"/>
      <c r="C155" s="38"/>
      <c r="D155" s="38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37"/>
      <c r="B156" s="38"/>
      <c r="C156" s="38"/>
      <c r="D156" s="38"/>
      <c r="E156" s="3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37"/>
      <c r="B157" s="38"/>
      <c r="C157" s="38"/>
      <c r="D157" s="38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37"/>
      <c r="B158" s="38"/>
      <c r="C158" s="38"/>
      <c r="D158" s="38"/>
      <c r="E158" s="3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37"/>
      <c r="B159" s="38"/>
      <c r="C159" s="38"/>
      <c r="D159" s="38"/>
      <c r="E159" s="3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37"/>
      <c r="B160" s="38"/>
      <c r="C160" s="38"/>
      <c r="D160" s="38"/>
      <c r="E160" s="3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37"/>
      <c r="B161" s="38"/>
      <c r="C161" s="38"/>
      <c r="D161" s="38"/>
      <c r="E161" s="3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37"/>
      <c r="B162" s="38"/>
      <c r="C162" s="38"/>
      <c r="D162" s="38"/>
      <c r="E162" s="3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37"/>
      <c r="B163" s="38"/>
      <c r="C163" s="38"/>
      <c r="D163" s="38"/>
      <c r="E163" s="3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37"/>
      <c r="B164" s="38"/>
      <c r="C164" s="38"/>
      <c r="D164" s="38"/>
      <c r="E164" s="3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37"/>
      <c r="B165" s="38"/>
      <c r="C165" s="38"/>
      <c r="D165" s="38"/>
      <c r="E165" s="3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37"/>
      <c r="B166" s="38"/>
      <c r="C166" s="38"/>
      <c r="D166" s="38"/>
      <c r="E166" s="3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37"/>
      <c r="B167" s="38"/>
      <c r="C167" s="38"/>
      <c r="D167" s="38"/>
      <c r="E167" s="3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37"/>
      <c r="B168" s="38"/>
      <c r="C168" s="38"/>
      <c r="D168" s="38"/>
      <c r="E168" s="3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37"/>
      <c r="B169" s="38"/>
      <c r="C169" s="38"/>
      <c r="D169" s="38"/>
      <c r="E169" s="3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37"/>
      <c r="B170" s="38"/>
      <c r="C170" s="38"/>
      <c r="D170" s="38"/>
      <c r="E170" s="3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37"/>
      <c r="B171" s="38"/>
      <c r="C171" s="38"/>
      <c r="D171" s="38"/>
      <c r="E171" s="3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37"/>
      <c r="B172" s="38"/>
      <c r="C172" s="38"/>
      <c r="D172" s="38"/>
      <c r="E172" s="3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37"/>
      <c r="B173" s="38"/>
      <c r="C173" s="38"/>
      <c r="D173" s="38"/>
      <c r="E173" s="3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37"/>
      <c r="B174" s="38"/>
      <c r="C174" s="38"/>
      <c r="D174" s="38"/>
      <c r="E174" s="3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37"/>
      <c r="B175" s="38"/>
      <c r="C175" s="38"/>
      <c r="D175" s="38"/>
      <c r="E175" s="3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37"/>
      <c r="B176" s="38"/>
      <c r="C176" s="38"/>
      <c r="D176" s="38"/>
      <c r="E176" s="3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37"/>
      <c r="B177" s="38"/>
      <c r="C177" s="38"/>
      <c r="D177" s="38"/>
      <c r="E177" s="3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37"/>
      <c r="B178" s="38"/>
      <c r="C178" s="38"/>
      <c r="D178" s="38"/>
      <c r="E178" s="3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37"/>
      <c r="B179" s="38"/>
      <c r="C179" s="38"/>
      <c r="D179" s="38"/>
      <c r="E179" s="3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37"/>
      <c r="B180" s="38"/>
      <c r="C180" s="38"/>
      <c r="D180" s="38"/>
      <c r="E180" s="3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37"/>
      <c r="B181" s="38"/>
      <c r="C181" s="38"/>
      <c r="D181" s="38"/>
      <c r="E181" s="3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37"/>
      <c r="B182" s="38"/>
      <c r="C182" s="38"/>
      <c r="D182" s="38"/>
      <c r="E182" s="3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37"/>
      <c r="B183" s="38"/>
      <c r="C183" s="38"/>
      <c r="D183" s="38"/>
      <c r="E183" s="3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37"/>
      <c r="B184" s="38"/>
      <c r="C184" s="38"/>
      <c r="D184" s="38"/>
      <c r="E184" s="3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37"/>
      <c r="B185" s="38"/>
      <c r="C185" s="38"/>
      <c r="D185" s="38"/>
      <c r="E185" s="3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37"/>
      <c r="B186" s="38"/>
      <c r="C186" s="38"/>
      <c r="D186" s="38"/>
      <c r="E186" s="3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37"/>
      <c r="B187" s="38"/>
      <c r="C187" s="38"/>
      <c r="D187" s="38"/>
      <c r="E187" s="3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37"/>
      <c r="B188" s="38"/>
      <c r="C188" s="38"/>
      <c r="D188" s="38"/>
      <c r="E188" s="3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37"/>
      <c r="B189" s="38"/>
      <c r="C189" s="38"/>
      <c r="D189" s="38"/>
      <c r="E189" s="3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37"/>
      <c r="B190" s="38"/>
      <c r="C190" s="38"/>
      <c r="D190" s="38"/>
      <c r="E190" s="3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37"/>
      <c r="B191" s="38"/>
      <c r="C191" s="38"/>
      <c r="D191" s="38"/>
      <c r="E191" s="3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37"/>
      <c r="B192" s="38"/>
      <c r="C192" s="38"/>
      <c r="D192" s="38"/>
      <c r="E192" s="3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37"/>
      <c r="B193" s="38"/>
      <c r="C193" s="38"/>
      <c r="D193" s="38"/>
      <c r="E193" s="3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37"/>
      <c r="B194" s="38"/>
      <c r="C194" s="38"/>
      <c r="D194" s="38"/>
      <c r="E194" s="3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37"/>
      <c r="B195" s="38"/>
      <c r="C195" s="38"/>
      <c r="D195" s="38"/>
      <c r="E195" s="3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37"/>
      <c r="B196" s="38"/>
      <c r="C196" s="38"/>
      <c r="D196" s="38"/>
      <c r="E196" s="3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37"/>
      <c r="B197" s="38"/>
      <c r="C197" s="38"/>
      <c r="D197" s="38"/>
      <c r="E197" s="3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37"/>
      <c r="B198" s="38"/>
      <c r="C198" s="38"/>
      <c r="D198" s="38"/>
      <c r="E198" s="3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37"/>
      <c r="B199" s="38"/>
      <c r="C199" s="38"/>
      <c r="D199" s="38"/>
      <c r="E199" s="3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37"/>
      <c r="B200" s="38"/>
      <c r="C200" s="38"/>
      <c r="D200" s="38"/>
      <c r="E200" s="3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37"/>
      <c r="B201" s="38"/>
      <c r="C201" s="38"/>
      <c r="D201" s="38"/>
      <c r="E201" s="3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37"/>
      <c r="B202" s="38"/>
      <c r="C202" s="38"/>
      <c r="D202" s="38"/>
      <c r="E202" s="3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37"/>
      <c r="B203" s="38"/>
      <c r="C203" s="38"/>
      <c r="D203" s="38"/>
      <c r="E203" s="3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37"/>
      <c r="B204" s="38"/>
      <c r="C204" s="38"/>
      <c r="D204" s="38"/>
      <c r="E204" s="3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37"/>
      <c r="B205" s="38"/>
      <c r="C205" s="38"/>
      <c r="D205" s="38"/>
      <c r="E205" s="3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37"/>
      <c r="B206" s="38"/>
      <c r="C206" s="38"/>
      <c r="D206" s="38"/>
      <c r="E206" s="3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37"/>
      <c r="B207" s="38"/>
      <c r="C207" s="38"/>
      <c r="D207" s="38"/>
      <c r="E207" s="3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37"/>
      <c r="B208" s="38"/>
      <c r="C208" s="38"/>
      <c r="D208" s="38"/>
      <c r="E208" s="3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37"/>
      <c r="B209" s="38"/>
      <c r="C209" s="38"/>
      <c r="D209" s="38"/>
      <c r="E209" s="3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37"/>
      <c r="B210" s="38"/>
      <c r="C210" s="38"/>
      <c r="D210" s="38"/>
      <c r="E210" s="3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37"/>
      <c r="B211" s="38"/>
      <c r="C211" s="38"/>
      <c r="D211" s="38"/>
      <c r="E211" s="3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37"/>
      <c r="B212" s="38"/>
      <c r="C212" s="38"/>
      <c r="D212" s="38"/>
      <c r="E212" s="3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37"/>
      <c r="B213" s="38"/>
      <c r="C213" s="38"/>
      <c r="D213" s="38"/>
      <c r="E213" s="3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37"/>
      <c r="B214" s="38"/>
      <c r="C214" s="38"/>
      <c r="D214" s="38"/>
      <c r="E214" s="3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37"/>
      <c r="B215" s="38"/>
      <c r="C215" s="38"/>
      <c r="D215" s="38"/>
      <c r="E215" s="3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37"/>
      <c r="B216" s="38"/>
      <c r="C216" s="38"/>
      <c r="D216" s="38"/>
      <c r="E216" s="3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37"/>
      <c r="B217" s="38"/>
      <c r="C217" s="38"/>
      <c r="D217" s="38"/>
      <c r="E217" s="3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37"/>
      <c r="B218" s="38"/>
      <c r="C218" s="38"/>
      <c r="D218" s="38"/>
      <c r="E218" s="3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37"/>
      <c r="B219" s="38"/>
      <c r="C219" s="38"/>
      <c r="D219" s="38"/>
      <c r="E219" s="3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37"/>
      <c r="B220" s="38"/>
      <c r="C220" s="38"/>
      <c r="D220" s="38"/>
      <c r="E220" s="3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37"/>
      <c r="B221" s="38"/>
      <c r="C221" s="38"/>
      <c r="D221" s="38"/>
      <c r="E221" s="3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37"/>
      <c r="B222" s="38"/>
      <c r="C222" s="38"/>
      <c r="D222" s="38"/>
      <c r="E222" s="3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37"/>
      <c r="B223" s="38"/>
      <c r="C223" s="38"/>
      <c r="D223" s="38"/>
      <c r="E223" s="3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37"/>
      <c r="B224" s="38"/>
      <c r="C224" s="38"/>
      <c r="D224" s="38"/>
      <c r="E224" s="3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37"/>
      <c r="B225" s="38"/>
      <c r="C225" s="38"/>
      <c r="D225" s="38"/>
      <c r="E225" s="3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37"/>
      <c r="B226" s="38"/>
      <c r="C226" s="38"/>
      <c r="D226" s="38"/>
      <c r="E226" s="3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37"/>
      <c r="B227" s="38"/>
      <c r="C227" s="38"/>
      <c r="D227" s="38"/>
      <c r="E227" s="3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37"/>
      <c r="B228" s="38"/>
      <c r="C228" s="38"/>
      <c r="D228" s="38"/>
      <c r="E228" s="3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37"/>
      <c r="B229" s="38"/>
      <c r="C229" s="38"/>
      <c r="D229" s="38"/>
      <c r="E229" s="3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37"/>
      <c r="B230" s="38"/>
      <c r="C230" s="38"/>
      <c r="D230" s="38"/>
      <c r="E230" s="3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37"/>
      <c r="B231" s="38"/>
      <c r="C231" s="38"/>
      <c r="D231" s="38"/>
      <c r="E231" s="3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37"/>
      <c r="B232" s="38"/>
      <c r="C232" s="38"/>
      <c r="D232" s="38"/>
      <c r="E232" s="3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37"/>
      <c r="B233" s="38"/>
      <c r="C233" s="38"/>
      <c r="D233" s="38"/>
      <c r="E233" s="3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37"/>
      <c r="B234" s="38"/>
      <c r="C234" s="38"/>
      <c r="D234" s="38"/>
      <c r="E234" s="3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37"/>
      <c r="B235" s="38"/>
      <c r="C235" s="38"/>
      <c r="D235" s="38"/>
      <c r="E235" s="3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37"/>
      <c r="B236" s="38"/>
      <c r="C236" s="38"/>
      <c r="D236" s="38"/>
      <c r="E236" s="3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37"/>
      <c r="B237" s="38"/>
      <c r="C237" s="38"/>
      <c r="D237" s="38"/>
      <c r="E237" s="3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37"/>
      <c r="B238" s="38"/>
      <c r="C238" s="38"/>
      <c r="D238" s="38"/>
      <c r="E238" s="3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37"/>
      <c r="B239" s="38"/>
      <c r="C239" s="38"/>
      <c r="D239" s="38"/>
      <c r="E239" s="3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37"/>
      <c r="B240" s="38"/>
      <c r="C240" s="38"/>
      <c r="D240" s="38"/>
      <c r="E240" s="3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37"/>
      <c r="B241" s="38"/>
      <c r="C241" s="38"/>
      <c r="D241" s="38"/>
      <c r="E241" s="3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37"/>
      <c r="B242" s="38"/>
      <c r="C242" s="38"/>
      <c r="D242" s="38"/>
      <c r="E242" s="3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37"/>
      <c r="B243" s="38"/>
      <c r="C243" s="38"/>
      <c r="D243" s="38"/>
      <c r="E243" s="3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37"/>
      <c r="B244" s="38"/>
      <c r="C244" s="38"/>
      <c r="D244" s="38"/>
      <c r="E244" s="3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37"/>
      <c r="B245" s="38"/>
      <c r="C245" s="38"/>
      <c r="D245" s="38"/>
      <c r="E245" s="3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37"/>
      <c r="B246" s="38"/>
      <c r="C246" s="38"/>
      <c r="D246" s="38"/>
      <c r="E246" s="3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37"/>
      <c r="B247" s="38"/>
      <c r="C247" s="38"/>
      <c r="D247" s="38"/>
      <c r="E247" s="3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37"/>
      <c r="B248" s="38"/>
      <c r="C248" s="38"/>
      <c r="D248" s="38"/>
      <c r="E248" s="3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37"/>
      <c r="B249" s="38"/>
      <c r="C249" s="38"/>
      <c r="D249" s="38"/>
      <c r="E249" s="3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37"/>
      <c r="B250" s="38"/>
      <c r="C250" s="38"/>
      <c r="D250" s="38"/>
      <c r="E250" s="3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37"/>
      <c r="B251" s="38"/>
      <c r="C251" s="38"/>
      <c r="D251" s="38"/>
      <c r="E251" s="3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37"/>
      <c r="B252" s="38"/>
      <c r="C252" s="38"/>
      <c r="D252" s="38"/>
      <c r="E252" s="3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37"/>
      <c r="B253" s="38"/>
      <c r="C253" s="38"/>
      <c r="D253" s="38"/>
      <c r="E253" s="3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37"/>
      <c r="B254" s="38"/>
      <c r="C254" s="38"/>
      <c r="D254" s="38"/>
      <c r="E254" s="3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37"/>
      <c r="B255" s="38"/>
      <c r="C255" s="38"/>
      <c r="D255" s="38"/>
      <c r="E255" s="3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37"/>
      <c r="B256" s="38"/>
      <c r="C256" s="38"/>
      <c r="D256" s="38"/>
      <c r="E256" s="3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37"/>
      <c r="B257" s="38"/>
      <c r="C257" s="38"/>
      <c r="D257" s="38"/>
      <c r="E257" s="3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37"/>
      <c r="B258" s="38"/>
      <c r="C258" s="38"/>
      <c r="D258" s="38"/>
      <c r="E258" s="3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37"/>
      <c r="B259" s="38"/>
      <c r="C259" s="38"/>
      <c r="D259" s="38"/>
      <c r="E259" s="3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37"/>
      <c r="B260" s="38"/>
      <c r="C260" s="38"/>
      <c r="D260" s="38"/>
      <c r="E260" s="3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37"/>
      <c r="B261" s="38"/>
      <c r="C261" s="38"/>
      <c r="D261" s="38"/>
      <c r="E261" s="3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37"/>
      <c r="B262" s="38"/>
      <c r="C262" s="38"/>
      <c r="D262" s="38"/>
      <c r="E262" s="3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37"/>
      <c r="B263" s="38"/>
      <c r="C263" s="38"/>
      <c r="D263" s="38"/>
      <c r="E263" s="3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37"/>
      <c r="B264" s="38"/>
      <c r="C264" s="38"/>
      <c r="D264" s="38"/>
      <c r="E264" s="3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37"/>
      <c r="B265" s="38"/>
      <c r="C265" s="38"/>
      <c r="D265" s="38"/>
      <c r="E265" s="3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37"/>
      <c r="B266" s="38"/>
      <c r="C266" s="38"/>
      <c r="D266" s="38"/>
      <c r="E266" s="3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37"/>
      <c r="B267" s="38"/>
      <c r="C267" s="38"/>
      <c r="D267" s="38"/>
      <c r="E267" s="3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37"/>
      <c r="B268" s="38"/>
      <c r="C268" s="38"/>
      <c r="D268" s="38"/>
      <c r="E268" s="3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37"/>
      <c r="B269" s="38"/>
      <c r="C269" s="38"/>
      <c r="D269" s="38"/>
      <c r="E269" s="3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37"/>
      <c r="B270" s="38"/>
      <c r="C270" s="38"/>
      <c r="D270" s="38"/>
      <c r="E270" s="3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37"/>
      <c r="B271" s="38"/>
      <c r="C271" s="38"/>
      <c r="D271" s="38"/>
      <c r="E271" s="3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37"/>
      <c r="B272" s="38"/>
      <c r="C272" s="38"/>
      <c r="D272" s="38"/>
      <c r="E272" s="3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37"/>
      <c r="B273" s="38"/>
      <c r="C273" s="38"/>
      <c r="D273" s="38"/>
      <c r="E273" s="3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37"/>
      <c r="B274" s="38"/>
      <c r="C274" s="38"/>
      <c r="D274" s="38"/>
      <c r="E274" s="3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37"/>
      <c r="B275" s="38"/>
      <c r="C275" s="38"/>
      <c r="D275" s="38"/>
      <c r="E275" s="3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37"/>
      <c r="B276" s="38"/>
      <c r="C276" s="38"/>
      <c r="D276" s="38"/>
      <c r="E276" s="3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37"/>
      <c r="B277" s="38"/>
      <c r="C277" s="38"/>
      <c r="D277" s="38"/>
      <c r="E277" s="3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37"/>
      <c r="B278" s="38"/>
      <c r="C278" s="38"/>
      <c r="D278" s="38"/>
      <c r="E278" s="3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37"/>
      <c r="B279" s="38"/>
      <c r="C279" s="38"/>
      <c r="D279" s="38"/>
      <c r="E279" s="3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37"/>
      <c r="B280" s="38"/>
      <c r="C280" s="38"/>
      <c r="D280" s="38"/>
      <c r="E280" s="3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37"/>
      <c r="B281" s="38"/>
      <c r="C281" s="38"/>
      <c r="D281" s="38"/>
      <c r="E281" s="3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37"/>
      <c r="B282" s="38"/>
      <c r="C282" s="38"/>
      <c r="D282" s="38"/>
      <c r="E282" s="3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37"/>
      <c r="B283" s="38"/>
      <c r="C283" s="38"/>
      <c r="D283" s="38"/>
      <c r="E283" s="3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37"/>
      <c r="B284" s="38"/>
      <c r="C284" s="38"/>
      <c r="D284" s="38"/>
      <c r="E284" s="3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37"/>
      <c r="B285" s="38"/>
      <c r="C285" s="38"/>
      <c r="D285" s="38"/>
      <c r="E285" s="3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37"/>
      <c r="B286" s="38"/>
      <c r="C286" s="38"/>
      <c r="D286" s="38"/>
      <c r="E286" s="3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37"/>
      <c r="B287" s="38"/>
      <c r="C287" s="38"/>
      <c r="D287" s="38"/>
      <c r="E287" s="3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37"/>
      <c r="B288" s="38"/>
      <c r="C288" s="38"/>
      <c r="D288" s="38"/>
      <c r="E288" s="3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37"/>
      <c r="B289" s="38"/>
      <c r="C289" s="38"/>
      <c r="D289" s="38"/>
      <c r="E289" s="3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37"/>
      <c r="B290" s="38"/>
      <c r="C290" s="38"/>
      <c r="D290" s="38"/>
      <c r="E290" s="3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37"/>
      <c r="B291" s="38"/>
      <c r="C291" s="38"/>
      <c r="D291" s="38"/>
      <c r="E291" s="3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37"/>
      <c r="B292" s="38"/>
      <c r="C292" s="38"/>
      <c r="D292" s="38"/>
      <c r="E292" s="3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37"/>
      <c r="B293" s="38"/>
      <c r="C293" s="38"/>
      <c r="D293" s="38"/>
      <c r="E293" s="3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37"/>
      <c r="B294" s="38"/>
      <c r="C294" s="38"/>
      <c r="D294" s="38"/>
      <c r="E294" s="3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37"/>
      <c r="B295" s="38"/>
      <c r="C295" s="38"/>
      <c r="D295" s="38"/>
      <c r="E295" s="3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37"/>
      <c r="B296" s="38"/>
      <c r="C296" s="38"/>
      <c r="D296" s="38"/>
      <c r="E296" s="3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37"/>
      <c r="B297" s="38"/>
      <c r="C297" s="38"/>
      <c r="D297" s="38"/>
      <c r="E297" s="3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37"/>
      <c r="B298" s="38"/>
      <c r="C298" s="38"/>
      <c r="D298" s="38"/>
      <c r="E298" s="3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37"/>
      <c r="B299" s="38"/>
      <c r="C299" s="38"/>
      <c r="D299" s="38"/>
      <c r="E299" s="3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37"/>
      <c r="B300" s="38"/>
      <c r="C300" s="38"/>
      <c r="D300" s="38"/>
      <c r="E300" s="3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37"/>
      <c r="B301" s="38"/>
      <c r="C301" s="38"/>
      <c r="D301" s="38"/>
      <c r="E301" s="3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37"/>
      <c r="B302" s="38"/>
      <c r="C302" s="38"/>
      <c r="D302" s="38"/>
      <c r="E302" s="3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37"/>
      <c r="B303" s="38"/>
      <c r="C303" s="38"/>
      <c r="D303" s="38"/>
      <c r="E303" s="3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37"/>
      <c r="B304" s="38"/>
      <c r="C304" s="38"/>
      <c r="D304" s="38"/>
      <c r="E304" s="3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37"/>
      <c r="B305" s="38"/>
      <c r="C305" s="38"/>
      <c r="D305" s="38"/>
      <c r="E305" s="3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37"/>
      <c r="B306" s="38"/>
      <c r="C306" s="38"/>
      <c r="D306" s="38"/>
      <c r="E306" s="3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37"/>
      <c r="B307" s="38"/>
      <c r="C307" s="38"/>
      <c r="D307" s="38"/>
      <c r="E307" s="3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37"/>
      <c r="B308" s="38"/>
      <c r="C308" s="38"/>
      <c r="D308" s="38"/>
      <c r="E308" s="3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37"/>
      <c r="B309" s="38"/>
      <c r="C309" s="38"/>
      <c r="D309" s="38"/>
      <c r="E309" s="3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37"/>
      <c r="B310" s="38"/>
      <c r="C310" s="38"/>
      <c r="D310" s="38"/>
      <c r="E310" s="3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37"/>
      <c r="B311" s="38"/>
      <c r="C311" s="38"/>
      <c r="D311" s="38"/>
      <c r="E311" s="3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37"/>
      <c r="B312" s="38"/>
      <c r="C312" s="38"/>
      <c r="D312" s="38"/>
      <c r="E312" s="3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37"/>
      <c r="B313" s="38"/>
      <c r="C313" s="38"/>
      <c r="D313" s="38"/>
      <c r="E313" s="3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37"/>
      <c r="B314" s="38"/>
      <c r="C314" s="38"/>
      <c r="D314" s="38"/>
      <c r="E314" s="3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37"/>
      <c r="B315" s="38"/>
      <c r="C315" s="38"/>
      <c r="D315" s="38"/>
      <c r="E315" s="3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37"/>
      <c r="B316" s="38"/>
      <c r="C316" s="38"/>
      <c r="D316" s="38"/>
      <c r="E316" s="3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37"/>
      <c r="B317" s="38"/>
      <c r="C317" s="38"/>
      <c r="D317" s="38"/>
      <c r="E317" s="3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37"/>
      <c r="B318" s="38"/>
      <c r="C318" s="38"/>
      <c r="D318" s="38"/>
      <c r="E318" s="3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37"/>
      <c r="B319" s="38"/>
      <c r="C319" s="38"/>
      <c r="D319" s="38"/>
      <c r="E319" s="3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37"/>
      <c r="B320" s="38"/>
      <c r="C320" s="38"/>
      <c r="D320" s="38"/>
      <c r="E320" s="3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37"/>
      <c r="B321" s="38"/>
      <c r="C321" s="38"/>
      <c r="D321" s="38"/>
      <c r="E321" s="3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37"/>
      <c r="B322" s="38"/>
      <c r="C322" s="38"/>
      <c r="D322" s="38"/>
      <c r="E322" s="3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37"/>
      <c r="B323" s="38"/>
      <c r="C323" s="38"/>
      <c r="D323" s="38"/>
      <c r="E323" s="3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37"/>
      <c r="B324" s="38"/>
      <c r="C324" s="38"/>
      <c r="D324" s="38"/>
      <c r="E324" s="3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37"/>
      <c r="B325" s="38"/>
      <c r="C325" s="38"/>
      <c r="D325" s="38"/>
      <c r="E325" s="3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37"/>
      <c r="B326" s="38"/>
      <c r="C326" s="38"/>
      <c r="D326" s="38"/>
      <c r="E326" s="3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37"/>
      <c r="B327" s="38"/>
      <c r="C327" s="38"/>
      <c r="D327" s="38"/>
      <c r="E327" s="3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37"/>
      <c r="B328" s="38"/>
      <c r="C328" s="38"/>
      <c r="D328" s="38"/>
      <c r="E328" s="3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37"/>
      <c r="B329" s="38"/>
      <c r="C329" s="38"/>
      <c r="D329" s="38"/>
      <c r="E329" s="3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37"/>
      <c r="B330" s="38"/>
      <c r="C330" s="38"/>
      <c r="D330" s="38"/>
      <c r="E330" s="3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37"/>
      <c r="B331" s="38"/>
      <c r="C331" s="38"/>
      <c r="D331" s="38"/>
      <c r="E331" s="3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37"/>
      <c r="B332" s="38"/>
      <c r="C332" s="38"/>
      <c r="D332" s="38"/>
      <c r="E332" s="3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37"/>
      <c r="B333" s="38"/>
      <c r="C333" s="38"/>
      <c r="D333" s="38"/>
      <c r="E333" s="3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37"/>
      <c r="B334" s="38"/>
      <c r="C334" s="38"/>
      <c r="D334" s="38"/>
      <c r="E334" s="3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37"/>
      <c r="B335" s="38"/>
      <c r="C335" s="38"/>
      <c r="D335" s="38"/>
      <c r="E335" s="3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37"/>
      <c r="B336" s="38"/>
      <c r="C336" s="38"/>
      <c r="D336" s="38"/>
      <c r="E336" s="3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37"/>
      <c r="B337" s="38"/>
      <c r="C337" s="38"/>
      <c r="D337" s="38"/>
      <c r="E337" s="3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37"/>
      <c r="B338" s="38"/>
      <c r="C338" s="38"/>
      <c r="D338" s="38"/>
      <c r="E338" s="3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37"/>
      <c r="B339" s="38"/>
      <c r="C339" s="38"/>
      <c r="D339" s="38"/>
      <c r="E339" s="3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37"/>
      <c r="B340" s="38"/>
      <c r="C340" s="38"/>
      <c r="D340" s="38"/>
      <c r="E340" s="3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37"/>
      <c r="B341" s="38"/>
      <c r="C341" s="38"/>
      <c r="D341" s="38"/>
      <c r="E341" s="3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37"/>
      <c r="B342" s="38"/>
      <c r="C342" s="38"/>
      <c r="D342" s="38"/>
      <c r="E342" s="3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37"/>
      <c r="B343" s="38"/>
      <c r="C343" s="38"/>
      <c r="D343" s="38"/>
      <c r="E343" s="3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37"/>
      <c r="B344" s="38"/>
      <c r="C344" s="38"/>
      <c r="D344" s="38"/>
      <c r="E344" s="3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37"/>
      <c r="B345" s="38"/>
      <c r="C345" s="38"/>
      <c r="D345" s="38"/>
      <c r="E345" s="3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37"/>
      <c r="B346" s="38"/>
      <c r="C346" s="38"/>
      <c r="D346" s="38"/>
      <c r="E346" s="3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37"/>
      <c r="B347" s="38"/>
      <c r="C347" s="38"/>
      <c r="D347" s="38"/>
      <c r="E347" s="3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37"/>
      <c r="B348" s="38"/>
      <c r="C348" s="38"/>
      <c r="D348" s="38"/>
      <c r="E348" s="3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37"/>
      <c r="B349" s="38"/>
      <c r="C349" s="38"/>
      <c r="D349" s="38"/>
      <c r="E349" s="3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37"/>
      <c r="B350" s="38"/>
      <c r="C350" s="38"/>
      <c r="D350" s="38"/>
      <c r="E350" s="3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37"/>
      <c r="B351" s="38"/>
      <c r="C351" s="38"/>
      <c r="D351" s="38"/>
      <c r="E351" s="3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37"/>
      <c r="B352" s="38"/>
      <c r="C352" s="38"/>
      <c r="D352" s="38"/>
      <c r="E352" s="3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37"/>
      <c r="B353" s="38"/>
      <c r="C353" s="38"/>
      <c r="D353" s="38"/>
      <c r="E353" s="3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37"/>
      <c r="B354" s="38"/>
      <c r="C354" s="38"/>
      <c r="D354" s="38"/>
      <c r="E354" s="3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37"/>
      <c r="B355" s="38"/>
      <c r="C355" s="38"/>
      <c r="D355" s="38"/>
      <c r="E355" s="3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37"/>
      <c r="B356" s="38"/>
      <c r="C356" s="38"/>
      <c r="D356" s="38"/>
      <c r="E356" s="3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37"/>
      <c r="B357" s="38"/>
      <c r="C357" s="38"/>
      <c r="D357" s="38"/>
      <c r="E357" s="3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37"/>
      <c r="B358" s="38"/>
      <c r="C358" s="38"/>
      <c r="D358" s="38"/>
      <c r="E358" s="3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37"/>
      <c r="B359" s="38"/>
      <c r="C359" s="38"/>
      <c r="D359" s="38"/>
      <c r="E359" s="3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37"/>
      <c r="B360" s="38"/>
      <c r="C360" s="38"/>
      <c r="D360" s="38"/>
      <c r="E360" s="3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37"/>
      <c r="B361" s="38"/>
      <c r="C361" s="38"/>
      <c r="D361" s="38"/>
      <c r="E361" s="3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37"/>
      <c r="B362" s="38"/>
      <c r="C362" s="38"/>
      <c r="D362" s="38"/>
      <c r="E362" s="3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37"/>
      <c r="B363" s="38"/>
      <c r="C363" s="38"/>
      <c r="D363" s="38"/>
      <c r="E363" s="3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37"/>
      <c r="B364" s="38"/>
      <c r="C364" s="38"/>
      <c r="D364" s="38"/>
      <c r="E364" s="3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37"/>
      <c r="B365" s="38"/>
      <c r="C365" s="38"/>
      <c r="D365" s="38"/>
      <c r="E365" s="3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37"/>
      <c r="B366" s="38"/>
      <c r="C366" s="38"/>
      <c r="D366" s="38"/>
      <c r="E366" s="3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37"/>
      <c r="B367" s="38"/>
      <c r="C367" s="38"/>
      <c r="D367" s="38"/>
      <c r="E367" s="3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37"/>
      <c r="B368" s="38"/>
      <c r="C368" s="38"/>
      <c r="D368" s="38"/>
      <c r="E368" s="3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37"/>
      <c r="B369" s="38"/>
      <c r="C369" s="38"/>
      <c r="D369" s="38"/>
      <c r="E369" s="3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37"/>
      <c r="B370" s="38"/>
      <c r="C370" s="38"/>
      <c r="D370" s="38"/>
      <c r="E370" s="3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37"/>
      <c r="B371" s="38"/>
      <c r="C371" s="38"/>
      <c r="D371" s="38"/>
      <c r="E371" s="3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37"/>
      <c r="B372" s="38"/>
      <c r="C372" s="38"/>
      <c r="D372" s="38"/>
      <c r="E372" s="3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37"/>
      <c r="B373" s="38"/>
      <c r="C373" s="38"/>
      <c r="D373" s="38"/>
      <c r="E373" s="3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37"/>
      <c r="B374" s="38"/>
      <c r="C374" s="38"/>
      <c r="D374" s="38"/>
      <c r="E374" s="3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37"/>
      <c r="B375" s="38"/>
      <c r="C375" s="38"/>
      <c r="D375" s="38"/>
      <c r="E375" s="3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37"/>
      <c r="B376" s="38"/>
      <c r="C376" s="38"/>
      <c r="D376" s="38"/>
      <c r="E376" s="3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37"/>
      <c r="B377" s="38"/>
      <c r="C377" s="38"/>
      <c r="D377" s="38"/>
      <c r="E377" s="3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37"/>
      <c r="B378" s="38"/>
      <c r="C378" s="38"/>
      <c r="D378" s="38"/>
      <c r="E378" s="3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37"/>
      <c r="B379" s="38"/>
      <c r="C379" s="38"/>
      <c r="D379" s="38"/>
      <c r="E379" s="3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37"/>
      <c r="B380" s="38"/>
      <c r="C380" s="38"/>
      <c r="D380" s="38"/>
      <c r="E380" s="3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37"/>
      <c r="B381" s="38"/>
      <c r="C381" s="38"/>
      <c r="D381" s="38"/>
      <c r="E381" s="3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37"/>
      <c r="B382" s="38"/>
      <c r="C382" s="38"/>
      <c r="D382" s="38"/>
      <c r="E382" s="3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37"/>
      <c r="B383" s="38"/>
      <c r="C383" s="38"/>
      <c r="D383" s="38"/>
      <c r="E383" s="3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37"/>
      <c r="B384" s="38"/>
      <c r="C384" s="38"/>
      <c r="D384" s="38"/>
      <c r="E384" s="3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37"/>
      <c r="B385" s="38"/>
      <c r="C385" s="38"/>
      <c r="D385" s="38"/>
      <c r="E385" s="3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37"/>
      <c r="B386" s="38"/>
      <c r="C386" s="38"/>
      <c r="D386" s="38"/>
      <c r="E386" s="3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37"/>
      <c r="B387" s="38"/>
      <c r="C387" s="38"/>
      <c r="D387" s="38"/>
      <c r="E387" s="3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37"/>
      <c r="B388" s="38"/>
      <c r="C388" s="38"/>
      <c r="D388" s="38"/>
      <c r="E388" s="3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37"/>
      <c r="B389" s="38"/>
      <c r="C389" s="38"/>
      <c r="D389" s="38"/>
      <c r="E389" s="3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37"/>
      <c r="B390" s="38"/>
      <c r="C390" s="38"/>
      <c r="D390" s="38"/>
      <c r="E390" s="3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37"/>
      <c r="B391" s="38"/>
      <c r="C391" s="38"/>
      <c r="D391" s="38"/>
      <c r="E391" s="3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37"/>
      <c r="B392" s="38"/>
      <c r="C392" s="38"/>
      <c r="D392" s="38"/>
      <c r="E392" s="3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37"/>
      <c r="B393" s="38"/>
      <c r="C393" s="38"/>
      <c r="D393" s="38"/>
      <c r="E393" s="3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37"/>
      <c r="B394" s="38"/>
      <c r="C394" s="38"/>
      <c r="D394" s="38"/>
      <c r="E394" s="3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37"/>
      <c r="B395" s="38"/>
      <c r="C395" s="38"/>
      <c r="D395" s="38"/>
      <c r="E395" s="3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37"/>
      <c r="B396" s="38"/>
      <c r="C396" s="38"/>
      <c r="D396" s="38"/>
      <c r="E396" s="3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37"/>
      <c r="B397" s="38"/>
      <c r="C397" s="38"/>
      <c r="D397" s="38"/>
      <c r="E397" s="3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37"/>
      <c r="B398" s="38"/>
      <c r="C398" s="38"/>
      <c r="D398" s="38"/>
      <c r="E398" s="3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37"/>
      <c r="B399" s="38"/>
      <c r="C399" s="38"/>
      <c r="D399" s="38"/>
      <c r="E399" s="3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37"/>
      <c r="B400" s="38"/>
      <c r="C400" s="38"/>
      <c r="D400" s="38"/>
      <c r="E400" s="3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37"/>
      <c r="B401" s="38"/>
      <c r="C401" s="38"/>
      <c r="D401" s="38"/>
      <c r="E401" s="3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37"/>
      <c r="B402" s="38"/>
      <c r="C402" s="38"/>
      <c r="D402" s="38"/>
      <c r="E402" s="3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37"/>
      <c r="B403" s="38"/>
      <c r="C403" s="38"/>
      <c r="D403" s="38"/>
      <c r="E403" s="3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37"/>
      <c r="B404" s="38"/>
      <c r="C404" s="38"/>
      <c r="D404" s="38"/>
      <c r="E404" s="3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37"/>
      <c r="B405" s="38"/>
      <c r="C405" s="38"/>
      <c r="D405" s="38"/>
      <c r="E405" s="3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37"/>
      <c r="B406" s="38"/>
      <c r="C406" s="38"/>
      <c r="D406" s="38"/>
      <c r="E406" s="3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37"/>
      <c r="B407" s="38"/>
      <c r="C407" s="38"/>
      <c r="D407" s="38"/>
      <c r="E407" s="3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37"/>
      <c r="B408" s="38"/>
      <c r="C408" s="38"/>
      <c r="D408" s="38"/>
      <c r="E408" s="3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37"/>
      <c r="B409" s="38"/>
      <c r="C409" s="38"/>
      <c r="D409" s="38"/>
      <c r="E409" s="3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37"/>
      <c r="B410" s="38"/>
      <c r="C410" s="38"/>
      <c r="D410" s="38"/>
      <c r="E410" s="3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37"/>
      <c r="B411" s="38"/>
      <c r="C411" s="38"/>
      <c r="D411" s="38"/>
      <c r="E411" s="3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37"/>
      <c r="B412" s="38"/>
      <c r="C412" s="38"/>
      <c r="D412" s="38"/>
      <c r="E412" s="3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37"/>
      <c r="B413" s="38"/>
      <c r="C413" s="38"/>
      <c r="D413" s="38"/>
      <c r="E413" s="3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37"/>
      <c r="B414" s="38"/>
      <c r="C414" s="38"/>
      <c r="D414" s="38"/>
      <c r="E414" s="3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37"/>
      <c r="B415" s="38"/>
      <c r="C415" s="38"/>
      <c r="D415" s="38"/>
      <c r="E415" s="3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37"/>
      <c r="B416" s="38"/>
      <c r="C416" s="38"/>
      <c r="D416" s="38"/>
      <c r="E416" s="3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37"/>
      <c r="B417" s="38"/>
      <c r="C417" s="38"/>
      <c r="D417" s="38"/>
      <c r="E417" s="3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37"/>
      <c r="B418" s="38"/>
      <c r="C418" s="38"/>
      <c r="D418" s="38"/>
      <c r="E418" s="3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37"/>
      <c r="B419" s="38"/>
      <c r="C419" s="38"/>
      <c r="D419" s="38"/>
      <c r="E419" s="3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37"/>
      <c r="B420" s="38"/>
      <c r="C420" s="38"/>
      <c r="D420" s="38"/>
      <c r="E420" s="3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37"/>
      <c r="B421" s="38"/>
      <c r="C421" s="38"/>
      <c r="D421" s="38"/>
      <c r="E421" s="3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37"/>
      <c r="B422" s="38"/>
      <c r="C422" s="38"/>
      <c r="D422" s="38"/>
      <c r="E422" s="3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37"/>
      <c r="B423" s="38"/>
      <c r="C423" s="38"/>
      <c r="D423" s="38"/>
      <c r="E423" s="3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37"/>
      <c r="B424" s="38"/>
      <c r="C424" s="38"/>
      <c r="D424" s="38"/>
      <c r="E424" s="3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37"/>
      <c r="B425" s="38"/>
      <c r="C425" s="38"/>
      <c r="D425" s="38"/>
      <c r="E425" s="3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37"/>
      <c r="B426" s="38"/>
      <c r="C426" s="38"/>
      <c r="D426" s="38"/>
      <c r="E426" s="3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37"/>
      <c r="B427" s="38"/>
      <c r="C427" s="38"/>
      <c r="D427" s="38"/>
      <c r="E427" s="3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37"/>
      <c r="B428" s="38"/>
      <c r="C428" s="38"/>
      <c r="D428" s="38"/>
      <c r="E428" s="3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37"/>
      <c r="B429" s="38"/>
      <c r="C429" s="38"/>
      <c r="D429" s="38"/>
      <c r="E429" s="3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37"/>
      <c r="B430" s="38"/>
      <c r="C430" s="38"/>
      <c r="D430" s="38"/>
      <c r="E430" s="3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37"/>
      <c r="B431" s="38"/>
      <c r="C431" s="38"/>
      <c r="D431" s="38"/>
      <c r="E431" s="3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37"/>
      <c r="B432" s="38"/>
      <c r="C432" s="38"/>
      <c r="D432" s="38"/>
      <c r="E432" s="3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37"/>
      <c r="B433" s="38"/>
      <c r="C433" s="38"/>
      <c r="D433" s="38"/>
      <c r="E433" s="3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37"/>
      <c r="B434" s="38"/>
      <c r="C434" s="38"/>
      <c r="D434" s="38"/>
      <c r="E434" s="3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37"/>
      <c r="B435" s="38"/>
      <c r="C435" s="38"/>
      <c r="D435" s="38"/>
      <c r="E435" s="3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37"/>
      <c r="B436" s="38"/>
      <c r="C436" s="38"/>
      <c r="D436" s="38"/>
      <c r="E436" s="3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37"/>
      <c r="B437" s="38"/>
      <c r="C437" s="38"/>
      <c r="D437" s="38"/>
      <c r="E437" s="3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37"/>
      <c r="B438" s="38"/>
      <c r="C438" s="38"/>
      <c r="D438" s="38"/>
      <c r="E438" s="3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37"/>
      <c r="B439" s="38"/>
      <c r="C439" s="38"/>
      <c r="D439" s="38"/>
      <c r="E439" s="3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37"/>
      <c r="B440" s="38"/>
      <c r="C440" s="38"/>
      <c r="D440" s="38"/>
      <c r="E440" s="3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37"/>
      <c r="B441" s="38"/>
      <c r="C441" s="38"/>
      <c r="D441" s="38"/>
      <c r="E441" s="3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37"/>
      <c r="B442" s="38"/>
      <c r="C442" s="38"/>
      <c r="D442" s="38"/>
      <c r="E442" s="3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37"/>
      <c r="B443" s="38"/>
      <c r="C443" s="38"/>
      <c r="D443" s="38"/>
      <c r="E443" s="3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37"/>
      <c r="B444" s="38"/>
      <c r="C444" s="38"/>
      <c r="D444" s="38"/>
      <c r="E444" s="3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37"/>
      <c r="B445" s="38"/>
      <c r="C445" s="38"/>
      <c r="D445" s="38"/>
      <c r="E445" s="3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37"/>
      <c r="B446" s="38"/>
      <c r="C446" s="38"/>
      <c r="D446" s="38"/>
      <c r="E446" s="3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37"/>
      <c r="B447" s="38"/>
      <c r="C447" s="38"/>
      <c r="D447" s="38"/>
      <c r="E447" s="3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37"/>
      <c r="B448" s="38"/>
      <c r="C448" s="38"/>
      <c r="D448" s="38"/>
      <c r="E448" s="3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37"/>
      <c r="B449" s="38"/>
      <c r="C449" s="38"/>
      <c r="D449" s="38"/>
      <c r="E449" s="3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37"/>
      <c r="B450" s="38"/>
      <c r="C450" s="38"/>
      <c r="D450" s="38"/>
      <c r="E450" s="3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37"/>
      <c r="B451" s="38"/>
      <c r="C451" s="38"/>
      <c r="D451" s="38"/>
      <c r="E451" s="3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37"/>
      <c r="B452" s="38"/>
      <c r="C452" s="38"/>
      <c r="D452" s="38"/>
      <c r="E452" s="3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37"/>
      <c r="B453" s="38"/>
      <c r="C453" s="38"/>
      <c r="D453" s="38"/>
      <c r="E453" s="3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37"/>
      <c r="B454" s="38"/>
      <c r="C454" s="38"/>
      <c r="D454" s="38"/>
      <c r="E454" s="3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37"/>
      <c r="B455" s="38"/>
      <c r="C455" s="38"/>
      <c r="D455" s="38"/>
      <c r="E455" s="3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37"/>
      <c r="B456" s="38"/>
      <c r="C456" s="38"/>
      <c r="D456" s="38"/>
      <c r="E456" s="3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37"/>
      <c r="B457" s="38"/>
      <c r="C457" s="38"/>
      <c r="D457" s="38"/>
      <c r="E457" s="3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37"/>
      <c r="B458" s="38"/>
      <c r="C458" s="38"/>
      <c r="D458" s="38"/>
      <c r="E458" s="3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37"/>
      <c r="B459" s="38"/>
      <c r="C459" s="38"/>
      <c r="D459" s="38"/>
      <c r="E459" s="3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37"/>
      <c r="B460" s="38"/>
      <c r="C460" s="38"/>
      <c r="D460" s="38"/>
      <c r="E460" s="3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37"/>
      <c r="B461" s="38"/>
      <c r="C461" s="38"/>
      <c r="D461" s="38"/>
      <c r="E461" s="3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37"/>
      <c r="B462" s="38"/>
      <c r="C462" s="38"/>
      <c r="D462" s="38"/>
      <c r="E462" s="3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37"/>
      <c r="B463" s="38"/>
      <c r="C463" s="38"/>
      <c r="D463" s="38"/>
      <c r="E463" s="3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37"/>
      <c r="B464" s="38"/>
      <c r="C464" s="38"/>
      <c r="D464" s="38"/>
      <c r="E464" s="3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37"/>
      <c r="B465" s="38"/>
      <c r="C465" s="38"/>
      <c r="D465" s="38"/>
      <c r="E465" s="3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37"/>
      <c r="B466" s="38"/>
      <c r="C466" s="38"/>
      <c r="D466" s="38"/>
      <c r="E466" s="3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37"/>
      <c r="B467" s="38"/>
      <c r="C467" s="38"/>
      <c r="D467" s="38"/>
      <c r="E467" s="3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37"/>
      <c r="B468" s="38"/>
      <c r="C468" s="38"/>
      <c r="D468" s="38"/>
      <c r="E468" s="3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37"/>
      <c r="B469" s="38"/>
      <c r="C469" s="38"/>
      <c r="D469" s="38"/>
      <c r="E469" s="3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37"/>
      <c r="B470" s="38"/>
      <c r="C470" s="38"/>
      <c r="D470" s="38"/>
      <c r="E470" s="3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37"/>
      <c r="B471" s="38"/>
      <c r="C471" s="38"/>
      <c r="D471" s="38"/>
      <c r="E471" s="3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37"/>
      <c r="B472" s="38"/>
      <c r="C472" s="38"/>
      <c r="D472" s="38"/>
      <c r="E472" s="3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37"/>
      <c r="B473" s="38"/>
      <c r="C473" s="38"/>
      <c r="D473" s="38"/>
      <c r="E473" s="3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37"/>
      <c r="B474" s="38"/>
      <c r="C474" s="38"/>
      <c r="D474" s="38"/>
      <c r="E474" s="3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37"/>
      <c r="B475" s="38"/>
      <c r="C475" s="38"/>
      <c r="D475" s="38"/>
      <c r="E475" s="3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37"/>
      <c r="B476" s="38"/>
      <c r="C476" s="38"/>
      <c r="D476" s="38"/>
      <c r="E476" s="3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37"/>
      <c r="B477" s="38"/>
      <c r="C477" s="38"/>
      <c r="D477" s="38"/>
      <c r="E477" s="3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37"/>
      <c r="B478" s="38"/>
      <c r="C478" s="38"/>
      <c r="D478" s="38"/>
      <c r="E478" s="3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37"/>
      <c r="B479" s="38"/>
      <c r="C479" s="38"/>
      <c r="D479" s="38"/>
      <c r="E479" s="3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37"/>
      <c r="B480" s="38"/>
      <c r="C480" s="38"/>
      <c r="D480" s="38"/>
      <c r="E480" s="3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37"/>
      <c r="B481" s="38"/>
      <c r="C481" s="38"/>
      <c r="D481" s="38"/>
      <c r="E481" s="3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37"/>
      <c r="B482" s="38"/>
      <c r="C482" s="38"/>
      <c r="D482" s="38"/>
      <c r="E482" s="3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37"/>
      <c r="B483" s="38"/>
      <c r="C483" s="38"/>
      <c r="D483" s="38"/>
      <c r="E483" s="3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37"/>
      <c r="B484" s="38"/>
      <c r="C484" s="38"/>
      <c r="D484" s="38"/>
      <c r="E484" s="3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37"/>
      <c r="B485" s="38"/>
      <c r="C485" s="38"/>
      <c r="D485" s="38"/>
      <c r="E485" s="3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37"/>
      <c r="B486" s="38"/>
      <c r="C486" s="38"/>
      <c r="D486" s="38"/>
      <c r="E486" s="3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37"/>
      <c r="B487" s="38"/>
      <c r="C487" s="38"/>
      <c r="D487" s="38"/>
      <c r="E487" s="3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37"/>
      <c r="B488" s="38"/>
      <c r="C488" s="38"/>
      <c r="D488" s="38"/>
      <c r="E488" s="3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37"/>
      <c r="B489" s="38"/>
      <c r="C489" s="38"/>
      <c r="D489" s="38"/>
      <c r="E489" s="3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37"/>
      <c r="B490" s="38"/>
      <c r="C490" s="38"/>
      <c r="D490" s="38"/>
      <c r="E490" s="3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37"/>
      <c r="B491" s="38"/>
      <c r="C491" s="38"/>
      <c r="D491" s="38"/>
      <c r="E491" s="3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37"/>
      <c r="B492" s="38"/>
      <c r="C492" s="38"/>
      <c r="D492" s="38"/>
      <c r="E492" s="3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37"/>
      <c r="B493" s="38"/>
      <c r="C493" s="38"/>
      <c r="D493" s="38"/>
      <c r="E493" s="3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37"/>
      <c r="B494" s="38"/>
      <c r="C494" s="38"/>
      <c r="D494" s="38"/>
      <c r="E494" s="3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37"/>
      <c r="B495" s="38"/>
      <c r="C495" s="38"/>
      <c r="D495" s="38"/>
      <c r="E495" s="3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37"/>
      <c r="B496" s="38"/>
      <c r="C496" s="38"/>
      <c r="D496" s="38"/>
      <c r="E496" s="3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37"/>
      <c r="B497" s="38"/>
      <c r="C497" s="38"/>
      <c r="D497" s="38"/>
      <c r="E497" s="3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37"/>
      <c r="B498" s="38"/>
      <c r="C498" s="38"/>
      <c r="D498" s="38"/>
      <c r="E498" s="3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37"/>
      <c r="B499" s="38"/>
      <c r="C499" s="38"/>
      <c r="D499" s="38"/>
      <c r="E499" s="3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37"/>
      <c r="B500" s="38"/>
      <c r="C500" s="38"/>
      <c r="D500" s="38"/>
      <c r="E500" s="3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37"/>
      <c r="B501" s="38"/>
      <c r="C501" s="38"/>
      <c r="D501" s="38"/>
      <c r="E501" s="3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37"/>
      <c r="B502" s="38"/>
      <c r="C502" s="38"/>
      <c r="D502" s="38"/>
      <c r="E502" s="3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37"/>
      <c r="B503" s="38"/>
      <c r="C503" s="38"/>
      <c r="D503" s="38"/>
      <c r="E503" s="3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37"/>
      <c r="B504" s="38"/>
      <c r="C504" s="38"/>
      <c r="D504" s="38"/>
      <c r="E504" s="3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37"/>
      <c r="B505" s="38"/>
      <c r="C505" s="38"/>
      <c r="D505" s="38"/>
      <c r="E505" s="3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37"/>
      <c r="B506" s="38"/>
      <c r="C506" s="38"/>
      <c r="D506" s="38"/>
      <c r="E506" s="3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37"/>
      <c r="B507" s="38"/>
      <c r="C507" s="38"/>
      <c r="D507" s="38"/>
      <c r="E507" s="3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37"/>
      <c r="B508" s="38"/>
      <c r="C508" s="38"/>
      <c r="D508" s="38"/>
      <c r="E508" s="3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37"/>
      <c r="B509" s="38"/>
      <c r="C509" s="38"/>
      <c r="D509" s="38"/>
      <c r="E509" s="3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37"/>
      <c r="B510" s="38"/>
      <c r="C510" s="38"/>
      <c r="D510" s="38"/>
      <c r="E510" s="3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37"/>
      <c r="B511" s="38"/>
      <c r="C511" s="38"/>
      <c r="D511" s="38"/>
      <c r="E511" s="3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37"/>
      <c r="B512" s="38"/>
      <c r="C512" s="38"/>
      <c r="D512" s="38"/>
      <c r="E512" s="3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37"/>
      <c r="B513" s="38"/>
      <c r="C513" s="38"/>
      <c r="D513" s="38"/>
      <c r="E513" s="3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37"/>
      <c r="B514" s="38"/>
      <c r="C514" s="38"/>
      <c r="D514" s="38"/>
      <c r="E514" s="3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37"/>
      <c r="B515" s="38"/>
      <c r="C515" s="38"/>
      <c r="D515" s="38"/>
      <c r="E515" s="3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37"/>
      <c r="B516" s="38"/>
      <c r="C516" s="38"/>
      <c r="D516" s="38"/>
      <c r="E516" s="3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37"/>
      <c r="B517" s="38"/>
      <c r="C517" s="38"/>
      <c r="D517" s="38"/>
      <c r="E517" s="3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37"/>
      <c r="B518" s="38"/>
      <c r="C518" s="38"/>
      <c r="D518" s="38"/>
      <c r="E518" s="3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37"/>
      <c r="B519" s="38"/>
      <c r="C519" s="38"/>
      <c r="D519" s="38"/>
      <c r="E519" s="3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37"/>
      <c r="B520" s="38"/>
      <c r="C520" s="38"/>
      <c r="D520" s="38"/>
      <c r="E520" s="3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37"/>
      <c r="B521" s="38"/>
      <c r="C521" s="38"/>
      <c r="D521" s="38"/>
      <c r="E521" s="3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37"/>
      <c r="B522" s="38"/>
      <c r="C522" s="38"/>
      <c r="D522" s="38"/>
      <c r="E522" s="3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37"/>
      <c r="B523" s="38"/>
      <c r="C523" s="38"/>
      <c r="D523" s="38"/>
      <c r="E523" s="3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37"/>
      <c r="B524" s="38"/>
      <c r="C524" s="38"/>
      <c r="D524" s="38"/>
      <c r="E524" s="3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37"/>
      <c r="B525" s="38"/>
      <c r="C525" s="38"/>
      <c r="D525" s="38"/>
      <c r="E525" s="3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37"/>
      <c r="B526" s="38"/>
      <c r="C526" s="38"/>
      <c r="D526" s="38"/>
      <c r="E526" s="3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37"/>
      <c r="B527" s="38"/>
      <c r="C527" s="38"/>
      <c r="D527" s="38"/>
      <c r="E527" s="3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37"/>
      <c r="B528" s="38"/>
      <c r="C528" s="38"/>
      <c r="D528" s="38"/>
      <c r="E528" s="3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37"/>
      <c r="B529" s="38"/>
      <c r="C529" s="38"/>
      <c r="D529" s="38"/>
      <c r="E529" s="3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37"/>
      <c r="B530" s="38"/>
      <c r="C530" s="38"/>
      <c r="D530" s="38"/>
      <c r="E530" s="3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37"/>
      <c r="B531" s="38"/>
      <c r="C531" s="38"/>
      <c r="D531" s="38"/>
      <c r="E531" s="3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37"/>
      <c r="B532" s="38"/>
      <c r="C532" s="38"/>
      <c r="D532" s="38"/>
      <c r="E532" s="3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37"/>
      <c r="B533" s="38"/>
      <c r="C533" s="38"/>
      <c r="D533" s="38"/>
      <c r="E533" s="3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37"/>
      <c r="B534" s="38"/>
      <c r="C534" s="38"/>
      <c r="D534" s="38"/>
      <c r="E534" s="3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37"/>
      <c r="B535" s="38"/>
      <c r="C535" s="38"/>
      <c r="D535" s="38"/>
      <c r="E535" s="3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37"/>
      <c r="B536" s="38"/>
      <c r="C536" s="38"/>
      <c r="D536" s="38"/>
      <c r="E536" s="3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37"/>
      <c r="B537" s="38"/>
      <c r="C537" s="38"/>
      <c r="D537" s="38"/>
      <c r="E537" s="3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37"/>
      <c r="B538" s="38"/>
      <c r="C538" s="38"/>
      <c r="D538" s="38"/>
      <c r="E538" s="3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37"/>
      <c r="B539" s="38"/>
      <c r="C539" s="38"/>
      <c r="D539" s="38"/>
      <c r="E539" s="3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37"/>
      <c r="B540" s="38"/>
      <c r="C540" s="38"/>
      <c r="D540" s="38"/>
      <c r="E540" s="3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37"/>
      <c r="B541" s="38"/>
      <c r="C541" s="38"/>
      <c r="D541" s="38"/>
      <c r="E541" s="3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37"/>
      <c r="B542" s="38"/>
      <c r="C542" s="38"/>
      <c r="D542" s="38"/>
      <c r="E542" s="3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37"/>
      <c r="B543" s="38"/>
      <c r="C543" s="38"/>
      <c r="D543" s="38"/>
      <c r="E543" s="3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37"/>
      <c r="B544" s="38"/>
      <c r="C544" s="38"/>
      <c r="D544" s="38"/>
      <c r="E544" s="3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37"/>
      <c r="B545" s="38"/>
      <c r="C545" s="38"/>
      <c r="D545" s="38"/>
      <c r="E545" s="3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37"/>
      <c r="B546" s="38"/>
      <c r="C546" s="38"/>
      <c r="D546" s="38"/>
      <c r="E546" s="3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37"/>
      <c r="B547" s="38"/>
      <c r="C547" s="38"/>
      <c r="D547" s="38"/>
      <c r="E547" s="3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37"/>
      <c r="B548" s="38"/>
      <c r="C548" s="38"/>
      <c r="D548" s="38"/>
      <c r="E548" s="3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37"/>
      <c r="B549" s="38"/>
      <c r="C549" s="38"/>
      <c r="D549" s="38"/>
      <c r="E549" s="3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37"/>
      <c r="B550" s="38"/>
      <c r="C550" s="38"/>
      <c r="D550" s="38"/>
      <c r="E550" s="3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37"/>
      <c r="B551" s="38"/>
      <c r="C551" s="38"/>
      <c r="D551" s="38"/>
      <c r="E551" s="3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37"/>
      <c r="B552" s="38"/>
      <c r="C552" s="38"/>
      <c r="D552" s="38"/>
      <c r="E552" s="3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37"/>
      <c r="B553" s="38"/>
      <c r="C553" s="38"/>
      <c r="D553" s="38"/>
      <c r="E553" s="3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37"/>
      <c r="B554" s="38"/>
      <c r="C554" s="38"/>
      <c r="D554" s="38"/>
      <c r="E554" s="3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37"/>
      <c r="B555" s="38"/>
      <c r="C555" s="38"/>
      <c r="D555" s="38"/>
      <c r="E555" s="3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37"/>
      <c r="B556" s="38"/>
      <c r="C556" s="38"/>
      <c r="D556" s="38"/>
      <c r="E556" s="3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37"/>
      <c r="B557" s="38"/>
      <c r="C557" s="38"/>
      <c r="D557" s="38"/>
      <c r="E557" s="3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37"/>
      <c r="B558" s="38"/>
      <c r="C558" s="38"/>
      <c r="D558" s="38"/>
      <c r="E558" s="3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37"/>
      <c r="B559" s="38"/>
      <c r="C559" s="38"/>
      <c r="D559" s="38"/>
      <c r="E559" s="3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37"/>
      <c r="B560" s="38"/>
      <c r="C560" s="38"/>
      <c r="D560" s="38"/>
      <c r="E560" s="3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37"/>
      <c r="B561" s="38"/>
      <c r="C561" s="38"/>
      <c r="D561" s="38"/>
      <c r="E561" s="3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37"/>
      <c r="B562" s="38"/>
      <c r="C562" s="38"/>
      <c r="D562" s="38"/>
      <c r="E562" s="3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37"/>
      <c r="B563" s="38"/>
      <c r="C563" s="38"/>
      <c r="D563" s="38"/>
      <c r="E563" s="3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37"/>
      <c r="B564" s="38"/>
      <c r="C564" s="38"/>
      <c r="D564" s="38"/>
      <c r="E564" s="3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37"/>
      <c r="B565" s="38"/>
      <c r="C565" s="38"/>
      <c r="D565" s="38"/>
      <c r="E565" s="3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37"/>
      <c r="B566" s="38"/>
      <c r="C566" s="38"/>
      <c r="D566" s="38"/>
      <c r="E566" s="3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37"/>
      <c r="B567" s="38"/>
      <c r="C567" s="38"/>
      <c r="D567" s="38"/>
      <c r="E567" s="3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37"/>
      <c r="B568" s="38"/>
      <c r="C568" s="38"/>
      <c r="D568" s="38"/>
      <c r="E568" s="3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37"/>
      <c r="B569" s="38"/>
      <c r="C569" s="38"/>
      <c r="D569" s="38"/>
      <c r="E569" s="3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37"/>
      <c r="B570" s="38"/>
      <c r="C570" s="38"/>
      <c r="D570" s="38"/>
      <c r="E570" s="3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37"/>
      <c r="B571" s="38"/>
      <c r="C571" s="38"/>
      <c r="D571" s="38"/>
      <c r="E571" s="3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37"/>
      <c r="B572" s="38"/>
      <c r="C572" s="38"/>
      <c r="D572" s="38"/>
      <c r="E572" s="3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37"/>
      <c r="B573" s="38"/>
      <c r="C573" s="38"/>
      <c r="D573" s="38"/>
      <c r="E573" s="3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37"/>
      <c r="B574" s="38"/>
      <c r="C574" s="38"/>
      <c r="D574" s="38"/>
      <c r="E574" s="3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37"/>
      <c r="B575" s="38"/>
      <c r="C575" s="38"/>
      <c r="D575" s="38"/>
      <c r="E575" s="3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37"/>
      <c r="B576" s="38"/>
      <c r="C576" s="38"/>
      <c r="D576" s="38"/>
      <c r="E576" s="3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37"/>
      <c r="B577" s="38"/>
      <c r="C577" s="38"/>
      <c r="D577" s="38"/>
      <c r="E577" s="3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37"/>
      <c r="B578" s="38"/>
      <c r="C578" s="38"/>
      <c r="D578" s="38"/>
      <c r="E578" s="3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37"/>
      <c r="B579" s="38"/>
      <c r="C579" s="38"/>
      <c r="D579" s="38"/>
      <c r="E579" s="3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37"/>
      <c r="B580" s="38"/>
      <c r="C580" s="38"/>
      <c r="D580" s="38"/>
      <c r="E580" s="3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37"/>
      <c r="B581" s="38"/>
      <c r="C581" s="38"/>
      <c r="D581" s="38"/>
      <c r="E581" s="3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37"/>
      <c r="B582" s="38"/>
      <c r="C582" s="38"/>
      <c r="D582" s="38"/>
      <c r="E582" s="3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37"/>
      <c r="B583" s="38"/>
      <c r="C583" s="38"/>
      <c r="D583" s="38"/>
      <c r="E583" s="3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37"/>
      <c r="B584" s="38"/>
      <c r="C584" s="38"/>
      <c r="D584" s="38"/>
      <c r="E584" s="3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37"/>
      <c r="B585" s="38"/>
      <c r="C585" s="38"/>
      <c r="D585" s="38"/>
      <c r="E585" s="3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37"/>
      <c r="B586" s="38"/>
      <c r="C586" s="38"/>
      <c r="D586" s="38"/>
      <c r="E586" s="3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37"/>
      <c r="B587" s="38"/>
      <c r="C587" s="38"/>
      <c r="D587" s="38"/>
      <c r="E587" s="3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37"/>
      <c r="B588" s="38"/>
      <c r="C588" s="38"/>
      <c r="D588" s="38"/>
      <c r="E588" s="3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37"/>
      <c r="B589" s="38"/>
      <c r="C589" s="38"/>
      <c r="D589" s="38"/>
      <c r="E589" s="3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37"/>
      <c r="B590" s="38"/>
      <c r="C590" s="38"/>
      <c r="D590" s="38"/>
      <c r="E590" s="3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37"/>
      <c r="B591" s="38"/>
      <c r="C591" s="38"/>
      <c r="D591" s="38"/>
      <c r="E591" s="3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37"/>
      <c r="B592" s="38"/>
      <c r="C592" s="38"/>
      <c r="D592" s="38"/>
      <c r="E592" s="3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37"/>
      <c r="B593" s="38"/>
      <c r="C593" s="38"/>
      <c r="D593" s="38"/>
      <c r="E593" s="3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37"/>
      <c r="B594" s="38"/>
      <c r="C594" s="38"/>
      <c r="D594" s="38"/>
      <c r="E594" s="3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37"/>
      <c r="B595" s="38"/>
      <c r="C595" s="38"/>
      <c r="D595" s="38"/>
      <c r="E595" s="3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37"/>
      <c r="B596" s="38"/>
      <c r="C596" s="38"/>
      <c r="D596" s="38"/>
      <c r="E596" s="3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37"/>
      <c r="B597" s="38"/>
      <c r="C597" s="38"/>
      <c r="D597" s="38"/>
      <c r="E597" s="3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37"/>
      <c r="B598" s="38"/>
      <c r="C598" s="38"/>
      <c r="D598" s="38"/>
      <c r="E598" s="3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37"/>
      <c r="B599" s="38"/>
      <c r="C599" s="38"/>
      <c r="D599" s="38"/>
      <c r="E599" s="3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37"/>
      <c r="B600" s="38"/>
      <c r="C600" s="38"/>
      <c r="D600" s="38"/>
      <c r="E600" s="3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37"/>
      <c r="B601" s="38"/>
      <c r="C601" s="38"/>
      <c r="D601" s="38"/>
      <c r="E601" s="3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37"/>
      <c r="B602" s="38"/>
      <c r="C602" s="38"/>
      <c r="D602" s="38"/>
      <c r="E602" s="3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37"/>
      <c r="B603" s="38"/>
      <c r="C603" s="38"/>
      <c r="D603" s="38"/>
      <c r="E603" s="3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37"/>
      <c r="B604" s="38"/>
      <c r="C604" s="38"/>
      <c r="D604" s="38"/>
      <c r="E604" s="3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37"/>
      <c r="B605" s="38"/>
      <c r="C605" s="38"/>
      <c r="D605" s="38"/>
      <c r="E605" s="3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37"/>
      <c r="B606" s="38"/>
      <c r="C606" s="38"/>
      <c r="D606" s="38"/>
      <c r="E606" s="3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37"/>
      <c r="B607" s="38"/>
      <c r="C607" s="38"/>
      <c r="D607" s="38"/>
      <c r="E607" s="3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37"/>
      <c r="B608" s="38"/>
      <c r="C608" s="38"/>
      <c r="D608" s="38"/>
      <c r="E608" s="3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37"/>
      <c r="B609" s="38"/>
      <c r="C609" s="38"/>
      <c r="D609" s="38"/>
      <c r="E609" s="3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37"/>
      <c r="B610" s="38"/>
      <c r="C610" s="38"/>
      <c r="D610" s="38"/>
      <c r="E610" s="3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37"/>
      <c r="B611" s="38"/>
      <c r="C611" s="38"/>
      <c r="D611" s="38"/>
      <c r="E611" s="3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37"/>
      <c r="B612" s="38"/>
      <c r="C612" s="38"/>
      <c r="D612" s="38"/>
      <c r="E612" s="3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37"/>
      <c r="B613" s="38"/>
      <c r="C613" s="38"/>
      <c r="D613" s="38"/>
      <c r="E613" s="3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37"/>
      <c r="B614" s="38"/>
      <c r="C614" s="38"/>
      <c r="D614" s="38"/>
      <c r="E614" s="3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37"/>
      <c r="B615" s="38"/>
      <c r="C615" s="38"/>
      <c r="D615" s="38"/>
      <c r="E615" s="3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37"/>
      <c r="B616" s="38"/>
      <c r="C616" s="38"/>
      <c r="D616" s="38"/>
      <c r="E616" s="3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37"/>
      <c r="B617" s="38"/>
      <c r="C617" s="38"/>
      <c r="D617" s="38"/>
      <c r="E617" s="3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37"/>
      <c r="B618" s="38"/>
      <c r="C618" s="38"/>
      <c r="D618" s="38"/>
      <c r="E618" s="3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37"/>
      <c r="B619" s="38"/>
      <c r="C619" s="38"/>
      <c r="D619" s="38"/>
      <c r="E619" s="3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37"/>
      <c r="B620" s="38"/>
      <c r="C620" s="38"/>
      <c r="D620" s="38"/>
      <c r="E620" s="3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37"/>
      <c r="B621" s="38"/>
      <c r="C621" s="38"/>
      <c r="D621" s="38"/>
      <c r="E621" s="3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37"/>
      <c r="B622" s="38"/>
      <c r="C622" s="38"/>
      <c r="D622" s="38"/>
      <c r="E622" s="3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37"/>
      <c r="B623" s="38"/>
      <c r="C623" s="38"/>
      <c r="D623" s="38"/>
      <c r="E623" s="3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37"/>
      <c r="B624" s="38"/>
      <c r="C624" s="38"/>
      <c r="D624" s="38"/>
      <c r="E624" s="3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37"/>
      <c r="B625" s="38"/>
      <c r="C625" s="38"/>
      <c r="D625" s="38"/>
      <c r="E625" s="3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37"/>
      <c r="B626" s="38"/>
      <c r="C626" s="38"/>
      <c r="D626" s="38"/>
      <c r="E626" s="3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37"/>
      <c r="B627" s="38"/>
      <c r="C627" s="38"/>
      <c r="D627" s="38"/>
      <c r="E627" s="3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37"/>
      <c r="B628" s="38"/>
      <c r="C628" s="38"/>
      <c r="D628" s="38"/>
      <c r="E628" s="3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37"/>
      <c r="B629" s="38"/>
      <c r="C629" s="38"/>
      <c r="D629" s="38"/>
      <c r="E629" s="3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37"/>
      <c r="B630" s="38"/>
      <c r="C630" s="38"/>
      <c r="D630" s="38"/>
      <c r="E630" s="3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37"/>
      <c r="B631" s="38"/>
      <c r="C631" s="38"/>
      <c r="D631" s="38"/>
      <c r="E631" s="3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37"/>
      <c r="B632" s="38"/>
      <c r="C632" s="38"/>
      <c r="D632" s="38"/>
      <c r="E632" s="3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37"/>
      <c r="B633" s="38"/>
      <c r="C633" s="38"/>
      <c r="D633" s="38"/>
      <c r="E633" s="3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37"/>
      <c r="B634" s="38"/>
      <c r="C634" s="38"/>
      <c r="D634" s="38"/>
      <c r="E634" s="3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37"/>
      <c r="B635" s="38"/>
      <c r="C635" s="38"/>
      <c r="D635" s="38"/>
      <c r="E635" s="3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37"/>
      <c r="B636" s="38"/>
      <c r="C636" s="38"/>
      <c r="D636" s="38"/>
      <c r="E636" s="3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37"/>
      <c r="B637" s="38"/>
      <c r="C637" s="38"/>
      <c r="D637" s="38"/>
      <c r="E637" s="3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37"/>
      <c r="B638" s="38"/>
      <c r="C638" s="38"/>
      <c r="D638" s="38"/>
      <c r="E638" s="3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37"/>
      <c r="B639" s="38"/>
      <c r="C639" s="38"/>
      <c r="D639" s="38"/>
      <c r="E639" s="3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37"/>
      <c r="B640" s="38"/>
      <c r="C640" s="38"/>
      <c r="D640" s="38"/>
      <c r="E640" s="3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37"/>
      <c r="B641" s="38"/>
      <c r="C641" s="38"/>
      <c r="D641" s="38"/>
      <c r="E641" s="3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37"/>
      <c r="B642" s="38"/>
      <c r="C642" s="38"/>
      <c r="D642" s="38"/>
      <c r="E642" s="3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37"/>
      <c r="B643" s="38"/>
      <c r="C643" s="38"/>
      <c r="D643" s="38"/>
      <c r="E643" s="3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37"/>
      <c r="B644" s="38"/>
      <c r="C644" s="38"/>
      <c r="D644" s="38"/>
      <c r="E644" s="3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37"/>
      <c r="B645" s="38"/>
      <c r="C645" s="38"/>
      <c r="D645" s="38"/>
      <c r="E645" s="3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37"/>
      <c r="B646" s="38"/>
      <c r="C646" s="38"/>
      <c r="D646" s="38"/>
      <c r="E646" s="3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37"/>
      <c r="B647" s="38"/>
      <c r="C647" s="38"/>
      <c r="D647" s="38"/>
      <c r="E647" s="3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37"/>
      <c r="B648" s="38"/>
      <c r="C648" s="38"/>
      <c r="D648" s="38"/>
      <c r="E648" s="3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37"/>
      <c r="B649" s="38"/>
      <c r="C649" s="38"/>
      <c r="D649" s="38"/>
      <c r="E649" s="3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37"/>
      <c r="B650" s="38"/>
      <c r="C650" s="38"/>
      <c r="D650" s="38"/>
      <c r="E650" s="3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37"/>
      <c r="B651" s="38"/>
      <c r="C651" s="38"/>
      <c r="D651" s="38"/>
      <c r="E651" s="3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37"/>
      <c r="B652" s="38"/>
      <c r="C652" s="38"/>
      <c r="D652" s="38"/>
      <c r="E652" s="3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37"/>
      <c r="B653" s="38"/>
      <c r="C653" s="38"/>
      <c r="D653" s="38"/>
      <c r="E653" s="3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37"/>
      <c r="B654" s="38"/>
      <c r="C654" s="38"/>
      <c r="D654" s="38"/>
      <c r="E654" s="3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37"/>
      <c r="B655" s="38"/>
      <c r="C655" s="38"/>
      <c r="D655" s="38"/>
      <c r="E655" s="3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37"/>
      <c r="B656" s="38"/>
      <c r="C656" s="38"/>
      <c r="D656" s="38"/>
      <c r="E656" s="3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37"/>
      <c r="B657" s="38"/>
      <c r="C657" s="38"/>
      <c r="D657" s="38"/>
      <c r="E657" s="3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37"/>
      <c r="B658" s="38"/>
      <c r="C658" s="38"/>
      <c r="D658" s="38"/>
      <c r="E658" s="3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37"/>
      <c r="B659" s="38"/>
      <c r="C659" s="38"/>
      <c r="D659" s="38"/>
      <c r="E659" s="3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37"/>
      <c r="B660" s="38"/>
      <c r="C660" s="38"/>
      <c r="D660" s="38"/>
      <c r="E660" s="3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37"/>
      <c r="B661" s="38"/>
      <c r="C661" s="38"/>
      <c r="D661" s="38"/>
      <c r="E661" s="3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37"/>
      <c r="B662" s="38"/>
      <c r="C662" s="38"/>
      <c r="D662" s="38"/>
      <c r="E662" s="3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37"/>
      <c r="B663" s="38"/>
      <c r="C663" s="38"/>
      <c r="D663" s="38"/>
      <c r="E663" s="3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37"/>
      <c r="B664" s="38"/>
      <c r="C664" s="38"/>
      <c r="D664" s="38"/>
      <c r="E664" s="3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37"/>
      <c r="B665" s="38"/>
      <c r="C665" s="38"/>
      <c r="D665" s="38"/>
      <c r="E665" s="3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37"/>
      <c r="B666" s="38"/>
      <c r="C666" s="38"/>
      <c r="D666" s="38"/>
      <c r="E666" s="3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37"/>
      <c r="B667" s="38"/>
      <c r="C667" s="38"/>
      <c r="D667" s="38"/>
      <c r="E667" s="3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37"/>
      <c r="B668" s="38"/>
      <c r="C668" s="38"/>
      <c r="D668" s="38"/>
      <c r="E668" s="3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37"/>
      <c r="B669" s="38"/>
      <c r="C669" s="38"/>
      <c r="D669" s="38"/>
      <c r="E669" s="3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37"/>
      <c r="B670" s="38"/>
      <c r="C670" s="38"/>
      <c r="D670" s="38"/>
      <c r="E670" s="3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37"/>
      <c r="B671" s="38"/>
      <c r="C671" s="38"/>
      <c r="D671" s="38"/>
      <c r="E671" s="3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37"/>
      <c r="B672" s="38"/>
      <c r="C672" s="38"/>
      <c r="D672" s="38"/>
      <c r="E672" s="3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37"/>
      <c r="B673" s="38"/>
      <c r="C673" s="38"/>
      <c r="D673" s="38"/>
      <c r="E673" s="3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37"/>
      <c r="B674" s="38"/>
      <c r="C674" s="38"/>
      <c r="D674" s="38"/>
      <c r="E674" s="3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37"/>
      <c r="B675" s="38"/>
      <c r="C675" s="38"/>
      <c r="D675" s="38"/>
      <c r="E675" s="3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37"/>
      <c r="B676" s="38"/>
      <c r="C676" s="38"/>
      <c r="D676" s="38"/>
      <c r="E676" s="3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37"/>
      <c r="B677" s="38"/>
      <c r="C677" s="38"/>
      <c r="D677" s="38"/>
      <c r="E677" s="3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37"/>
      <c r="B678" s="38"/>
      <c r="C678" s="38"/>
      <c r="D678" s="38"/>
      <c r="E678" s="3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37"/>
      <c r="B679" s="38"/>
      <c r="C679" s="38"/>
      <c r="D679" s="38"/>
      <c r="E679" s="3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37"/>
      <c r="B680" s="38"/>
      <c r="C680" s="38"/>
      <c r="D680" s="38"/>
      <c r="E680" s="3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37"/>
      <c r="B681" s="38"/>
      <c r="C681" s="38"/>
      <c r="D681" s="38"/>
      <c r="E681" s="3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37"/>
      <c r="B682" s="38"/>
      <c r="C682" s="38"/>
      <c r="D682" s="38"/>
      <c r="E682" s="3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37"/>
      <c r="B683" s="38"/>
      <c r="C683" s="38"/>
      <c r="D683" s="38"/>
      <c r="E683" s="3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37"/>
      <c r="B684" s="38"/>
      <c r="C684" s="38"/>
      <c r="D684" s="38"/>
      <c r="E684" s="3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37"/>
      <c r="B685" s="38"/>
      <c r="C685" s="38"/>
      <c r="D685" s="38"/>
      <c r="E685" s="3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37"/>
      <c r="B686" s="38"/>
      <c r="C686" s="38"/>
      <c r="D686" s="38"/>
      <c r="E686" s="3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37"/>
      <c r="B687" s="38"/>
      <c r="C687" s="38"/>
      <c r="D687" s="38"/>
      <c r="E687" s="3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37"/>
      <c r="B688" s="38"/>
      <c r="C688" s="38"/>
      <c r="D688" s="38"/>
      <c r="E688" s="3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37"/>
      <c r="B689" s="38"/>
      <c r="C689" s="38"/>
      <c r="D689" s="38"/>
      <c r="E689" s="3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37"/>
      <c r="B690" s="38"/>
      <c r="C690" s="38"/>
      <c r="D690" s="38"/>
      <c r="E690" s="3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37"/>
      <c r="B691" s="38"/>
      <c r="C691" s="38"/>
      <c r="D691" s="38"/>
      <c r="E691" s="3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37"/>
      <c r="B692" s="38"/>
      <c r="C692" s="38"/>
      <c r="D692" s="38"/>
      <c r="E692" s="3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37"/>
      <c r="B693" s="38"/>
      <c r="C693" s="38"/>
      <c r="D693" s="38"/>
      <c r="E693" s="3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37"/>
      <c r="B694" s="38"/>
      <c r="C694" s="38"/>
      <c r="D694" s="38"/>
      <c r="E694" s="3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37"/>
      <c r="B695" s="38"/>
      <c r="C695" s="38"/>
      <c r="D695" s="38"/>
      <c r="E695" s="3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37"/>
      <c r="B696" s="38"/>
      <c r="C696" s="38"/>
      <c r="D696" s="38"/>
      <c r="E696" s="3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37"/>
      <c r="B697" s="38"/>
      <c r="C697" s="38"/>
      <c r="D697" s="38"/>
      <c r="E697" s="3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37"/>
      <c r="B698" s="38"/>
      <c r="C698" s="38"/>
      <c r="D698" s="38"/>
      <c r="E698" s="3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37"/>
      <c r="B699" s="38"/>
      <c r="C699" s="38"/>
      <c r="D699" s="38"/>
      <c r="E699" s="3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37"/>
      <c r="B700" s="38"/>
      <c r="C700" s="38"/>
      <c r="D700" s="38"/>
      <c r="E700" s="3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37"/>
      <c r="B701" s="38"/>
      <c r="C701" s="38"/>
      <c r="D701" s="38"/>
      <c r="E701" s="3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37"/>
      <c r="B702" s="38"/>
      <c r="C702" s="38"/>
      <c r="D702" s="38"/>
      <c r="E702" s="3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37"/>
      <c r="B703" s="38"/>
      <c r="C703" s="38"/>
      <c r="D703" s="38"/>
      <c r="E703" s="3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37"/>
      <c r="B704" s="38"/>
      <c r="C704" s="38"/>
      <c r="D704" s="38"/>
      <c r="E704" s="3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37"/>
      <c r="B705" s="38"/>
      <c r="C705" s="38"/>
      <c r="D705" s="38"/>
      <c r="E705" s="3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37"/>
      <c r="B706" s="38"/>
      <c r="C706" s="38"/>
      <c r="D706" s="38"/>
      <c r="E706" s="3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37"/>
      <c r="B707" s="38"/>
      <c r="C707" s="38"/>
      <c r="D707" s="38"/>
      <c r="E707" s="3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37"/>
      <c r="B708" s="38"/>
      <c r="C708" s="38"/>
      <c r="D708" s="38"/>
      <c r="E708" s="3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37"/>
      <c r="B709" s="38"/>
      <c r="C709" s="38"/>
      <c r="D709" s="38"/>
      <c r="E709" s="3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37"/>
      <c r="B710" s="38"/>
      <c r="C710" s="38"/>
      <c r="D710" s="38"/>
      <c r="E710" s="3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37"/>
      <c r="B711" s="38"/>
      <c r="C711" s="38"/>
      <c r="D711" s="38"/>
      <c r="E711" s="3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37"/>
      <c r="B712" s="38"/>
      <c r="C712" s="38"/>
      <c r="D712" s="38"/>
      <c r="E712" s="3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37"/>
      <c r="B713" s="38"/>
      <c r="C713" s="38"/>
      <c r="D713" s="38"/>
      <c r="E713" s="3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37"/>
      <c r="B714" s="38"/>
      <c r="C714" s="38"/>
      <c r="D714" s="38"/>
      <c r="E714" s="3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37"/>
      <c r="B715" s="38"/>
      <c r="C715" s="38"/>
      <c r="D715" s="38"/>
      <c r="E715" s="3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37"/>
      <c r="B716" s="38"/>
      <c r="C716" s="38"/>
      <c r="D716" s="38"/>
      <c r="E716" s="3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37"/>
      <c r="B717" s="38"/>
      <c r="C717" s="38"/>
      <c r="D717" s="38"/>
      <c r="E717" s="3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37"/>
      <c r="B718" s="38"/>
      <c r="C718" s="38"/>
      <c r="D718" s="38"/>
      <c r="E718" s="3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37"/>
      <c r="B719" s="38"/>
      <c r="C719" s="38"/>
      <c r="D719" s="38"/>
      <c r="E719" s="3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37"/>
      <c r="B720" s="38"/>
      <c r="C720" s="38"/>
      <c r="D720" s="38"/>
      <c r="E720" s="3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37"/>
      <c r="B721" s="38"/>
      <c r="C721" s="38"/>
      <c r="D721" s="38"/>
      <c r="E721" s="3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37"/>
      <c r="B722" s="38"/>
      <c r="C722" s="38"/>
      <c r="D722" s="38"/>
      <c r="E722" s="3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37"/>
      <c r="B723" s="38"/>
      <c r="C723" s="38"/>
      <c r="D723" s="38"/>
      <c r="E723" s="3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37"/>
      <c r="B724" s="38"/>
      <c r="C724" s="38"/>
      <c r="D724" s="38"/>
      <c r="E724" s="3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37"/>
      <c r="B725" s="38"/>
      <c r="C725" s="38"/>
      <c r="D725" s="38"/>
      <c r="E725" s="3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37"/>
      <c r="B726" s="38"/>
      <c r="C726" s="38"/>
      <c r="D726" s="38"/>
      <c r="E726" s="3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37"/>
      <c r="B727" s="38"/>
      <c r="C727" s="38"/>
      <c r="D727" s="38"/>
      <c r="E727" s="3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37"/>
      <c r="B728" s="38"/>
      <c r="C728" s="38"/>
      <c r="D728" s="38"/>
      <c r="E728" s="3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37"/>
      <c r="B729" s="38"/>
      <c r="C729" s="38"/>
      <c r="D729" s="38"/>
      <c r="E729" s="3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37"/>
      <c r="B730" s="38"/>
      <c r="C730" s="38"/>
      <c r="D730" s="38"/>
      <c r="E730" s="3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37"/>
      <c r="B731" s="38"/>
      <c r="C731" s="38"/>
      <c r="D731" s="38"/>
      <c r="E731" s="3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37"/>
      <c r="B732" s="38"/>
      <c r="C732" s="38"/>
      <c r="D732" s="38"/>
      <c r="E732" s="3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37"/>
      <c r="B733" s="38"/>
      <c r="C733" s="38"/>
      <c r="D733" s="38"/>
      <c r="E733" s="3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37"/>
      <c r="B734" s="38"/>
      <c r="C734" s="38"/>
      <c r="D734" s="38"/>
      <c r="E734" s="3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37"/>
      <c r="B735" s="38"/>
      <c r="C735" s="38"/>
      <c r="D735" s="38"/>
      <c r="E735" s="3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37"/>
      <c r="B736" s="38"/>
      <c r="C736" s="38"/>
      <c r="D736" s="38"/>
      <c r="E736" s="3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37"/>
      <c r="B737" s="38"/>
      <c r="C737" s="38"/>
      <c r="D737" s="38"/>
      <c r="E737" s="3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37"/>
      <c r="B738" s="38"/>
      <c r="C738" s="38"/>
      <c r="D738" s="38"/>
      <c r="E738" s="3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37"/>
      <c r="B739" s="38"/>
      <c r="C739" s="38"/>
      <c r="D739" s="38"/>
      <c r="E739" s="3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37"/>
      <c r="B740" s="38"/>
      <c r="C740" s="38"/>
      <c r="D740" s="38"/>
      <c r="E740" s="3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37"/>
      <c r="B741" s="38"/>
      <c r="C741" s="38"/>
      <c r="D741" s="38"/>
      <c r="E741" s="3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37"/>
      <c r="B742" s="38"/>
      <c r="C742" s="38"/>
      <c r="D742" s="38"/>
      <c r="E742" s="3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37"/>
      <c r="B743" s="38"/>
      <c r="C743" s="38"/>
      <c r="D743" s="38"/>
      <c r="E743" s="3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37"/>
      <c r="B744" s="38"/>
      <c r="C744" s="38"/>
      <c r="D744" s="38"/>
      <c r="E744" s="3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37"/>
      <c r="B745" s="38"/>
      <c r="C745" s="38"/>
      <c r="D745" s="38"/>
      <c r="E745" s="3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37"/>
      <c r="B746" s="38"/>
      <c r="C746" s="38"/>
      <c r="D746" s="38"/>
      <c r="E746" s="3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37"/>
      <c r="B747" s="38"/>
      <c r="C747" s="38"/>
      <c r="D747" s="38"/>
      <c r="E747" s="3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37"/>
      <c r="B748" s="38"/>
      <c r="C748" s="38"/>
      <c r="D748" s="38"/>
      <c r="E748" s="3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37"/>
      <c r="B749" s="38"/>
      <c r="C749" s="38"/>
      <c r="D749" s="38"/>
      <c r="E749" s="3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37"/>
      <c r="B750" s="38"/>
      <c r="C750" s="38"/>
      <c r="D750" s="38"/>
      <c r="E750" s="3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37"/>
      <c r="B751" s="38"/>
      <c r="C751" s="38"/>
      <c r="D751" s="38"/>
      <c r="E751" s="3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37"/>
      <c r="B752" s="38"/>
      <c r="C752" s="38"/>
      <c r="D752" s="38"/>
      <c r="E752" s="3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37"/>
      <c r="B753" s="38"/>
      <c r="C753" s="38"/>
      <c r="D753" s="38"/>
      <c r="E753" s="3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37"/>
      <c r="B754" s="38"/>
      <c r="C754" s="38"/>
      <c r="D754" s="38"/>
      <c r="E754" s="3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37"/>
      <c r="B755" s="38"/>
      <c r="C755" s="38"/>
      <c r="D755" s="38"/>
      <c r="E755" s="3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37"/>
      <c r="B756" s="38"/>
      <c r="C756" s="38"/>
      <c r="D756" s="38"/>
      <c r="E756" s="3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37"/>
      <c r="B757" s="38"/>
      <c r="C757" s="38"/>
      <c r="D757" s="38"/>
      <c r="E757" s="3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37"/>
      <c r="B758" s="38"/>
      <c r="C758" s="38"/>
      <c r="D758" s="38"/>
      <c r="E758" s="3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37"/>
      <c r="B759" s="38"/>
      <c r="C759" s="38"/>
      <c r="D759" s="38"/>
      <c r="E759" s="3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37"/>
      <c r="B760" s="38"/>
      <c r="C760" s="38"/>
      <c r="D760" s="38"/>
      <c r="E760" s="3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37"/>
      <c r="B761" s="38"/>
      <c r="C761" s="38"/>
      <c r="D761" s="38"/>
      <c r="E761" s="3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37"/>
      <c r="B762" s="38"/>
      <c r="C762" s="38"/>
      <c r="D762" s="38"/>
      <c r="E762" s="3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37"/>
      <c r="B763" s="38"/>
      <c r="C763" s="38"/>
      <c r="D763" s="38"/>
      <c r="E763" s="3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37"/>
      <c r="B764" s="38"/>
      <c r="C764" s="38"/>
      <c r="D764" s="38"/>
      <c r="E764" s="3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37"/>
      <c r="B765" s="38"/>
      <c r="C765" s="38"/>
      <c r="D765" s="38"/>
      <c r="E765" s="3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37"/>
      <c r="B766" s="38"/>
      <c r="C766" s="38"/>
      <c r="D766" s="38"/>
      <c r="E766" s="3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37"/>
      <c r="B767" s="38"/>
      <c r="C767" s="38"/>
      <c r="D767" s="38"/>
      <c r="E767" s="3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37"/>
      <c r="B768" s="38"/>
      <c r="C768" s="38"/>
      <c r="D768" s="38"/>
      <c r="E768" s="3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37"/>
      <c r="B769" s="38"/>
      <c r="C769" s="38"/>
      <c r="D769" s="38"/>
      <c r="E769" s="3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37"/>
      <c r="B770" s="38"/>
      <c r="C770" s="38"/>
      <c r="D770" s="38"/>
      <c r="E770" s="3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37"/>
      <c r="B771" s="38"/>
      <c r="C771" s="38"/>
      <c r="D771" s="38"/>
      <c r="E771" s="3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37"/>
      <c r="B772" s="38"/>
      <c r="C772" s="38"/>
      <c r="D772" s="38"/>
      <c r="E772" s="3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37"/>
      <c r="B773" s="38"/>
      <c r="C773" s="38"/>
      <c r="D773" s="38"/>
      <c r="E773" s="3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37"/>
      <c r="B774" s="38"/>
      <c r="C774" s="38"/>
      <c r="D774" s="38"/>
      <c r="E774" s="3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37"/>
      <c r="B775" s="38"/>
      <c r="C775" s="38"/>
      <c r="D775" s="38"/>
      <c r="E775" s="3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37"/>
      <c r="B776" s="38"/>
      <c r="C776" s="38"/>
      <c r="D776" s="38"/>
      <c r="E776" s="3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37"/>
      <c r="B777" s="38"/>
      <c r="C777" s="38"/>
      <c r="D777" s="38"/>
      <c r="E777" s="3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37"/>
      <c r="B778" s="38"/>
      <c r="C778" s="38"/>
      <c r="D778" s="38"/>
      <c r="E778" s="3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37"/>
      <c r="B779" s="38"/>
      <c r="C779" s="38"/>
      <c r="D779" s="38"/>
      <c r="E779" s="3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37"/>
      <c r="B780" s="38"/>
      <c r="C780" s="38"/>
      <c r="D780" s="38"/>
      <c r="E780" s="3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37"/>
      <c r="B781" s="38"/>
      <c r="C781" s="38"/>
      <c r="D781" s="38"/>
      <c r="E781" s="3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37"/>
      <c r="B782" s="38"/>
      <c r="C782" s="38"/>
      <c r="D782" s="38"/>
      <c r="E782" s="3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37"/>
      <c r="B783" s="38"/>
      <c r="C783" s="38"/>
      <c r="D783" s="38"/>
      <c r="E783" s="3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37"/>
      <c r="B784" s="38"/>
      <c r="C784" s="38"/>
      <c r="D784" s="38"/>
      <c r="E784" s="3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37"/>
      <c r="B785" s="38"/>
      <c r="C785" s="38"/>
      <c r="D785" s="38"/>
      <c r="E785" s="3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37"/>
      <c r="B786" s="38"/>
      <c r="C786" s="38"/>
      <c r="D786" s="38"/>
      <c r="E786" s="3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37"/>
      <c r="B787" s="38"/>
      <c r="C787" s="38"/>
      <c r="D787" s="38"/>
      <c r="E787" s="3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37"/>
      <c r="B788" s="38"/>
      <c r="C788" s="38"/>
      <c r="D788" s="38"/>
      <c r="E788" s="3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37"/>
      <c r="B789" s="38"/>
      <c r="C789" s="38"/>
      <c r="D789" s="38"/>
      <c r="E789" s="3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37"/>
      <c r="B790" s="38"/>
      <c r="C790" s="38"/>
      <c r="D790" s="38"/>
      <c r="E790" s="3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37"/>
      <c r="B791" s="38"/>
      <c r="C791" s="38"/>
      <c r="D791" s="38"/>
      <c r="E791" s="3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37"/>
      <c r="B792" s="38"/>
      <c r="C792" s="38"/>
      <c r="D792" s="38"/>
      <c r="E792" s="3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37"/>
      <c r="B793" s="38"/>
      <c r="C793" s="38"/>
      <c r="D793" s="38"/>
      <c r="E793" s="3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37"/>
      <c r="B794" s="38"/>
      <c r="C794" s="38"/>
      <c r="D794" s="38"/>
      <c r="E794" s="3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37"/>
      <c r="B795" s="38"/>
      <c r="C795" s="38"/>
      <c r="D795" s="38"/>
      <c r="E795" s="3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37"/>
      <c r="B796" s="38"/>
      <c r="C796" s="38"/>
      <c r="D796" s="38"/>
      <c r="E796" s="3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37"/>
      <c r="B797" s="38"/>
      <c r="C797" s="38"/>
      <c r="D797" s="38"/>
      <c r="E797" s="3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37"/>
      <c r="B798" s="38"/>
      <c r="C798" s="38"/>
      <c r="D798" s="38"/>
      <c r="E798" s="3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37"/>
      <c r="B799" s="38"/>
      <c r="C799" s="38"/>
      <c r="D799" s="38"/>
      <c r="E799" s="3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37"/>
      <c r="B800" s="38"/>
      <c r="C800" s="38"/>
      <c r="D800" s="38"/>
      <c r="E800" s="3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37"/>
      <c r="B801" s="38"/>
      <c r="C801" s="38"/>
      <c r="D801" s="38"/>
      <c r="E801" s="3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37"/>
      <c r="B802" s="38"/>
      <c r="C802" s="38"/>
      <c r="D802" s="38"/>
      <c r="E802" s="3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37"/>
      <c r="B803" s="38"/>
      <c r="C803" s="38"/>
      <c r="D803" s="38"/>
      <c r="E803" s="3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37"/>
      <c r="B804" s="38"/>
      <c r="C804" s="38"/>
      <c r="D804" s="38"/>
      <c r="E804" s="3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37"/>
      <c r="B805" s="38"/>
      <c r="C805" s="38"/>
      <c r="D805" s="38"/>
      <c r="E805" s="3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37"/>
      <c r="B806" s="38"/>
      <c r="C806" s="38"/>
      <c r="D806" s="38"/>
      <c r="E806" s="3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37"/>
      <c r="B807" s="38"/>
      <c r="C807" s="38"/>
      <c r="D807" s="38"/>
      <c r="E807" s="3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37"/>
      <c r="B808" s="38"/>
      <c r="C808" s="38"/>
      <c r="D808" s="38"/>
      <c r="E808" s="3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37"/>
      <c r="B809" s="38"/>
      <c r="C809" s="38"/>
      <c r="D809" s="38"/>
      <c r="E809" s="3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37"/>
      <c r="B810" s="38"/>
      <c r="C810" s="38"/>
      <c r="D810" s="38"/>
      <c r="E810" s="3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37"/>
      <c r="B811" s="38"/>
      <c r="C811" s="38"/>
      <c r="D811" s="38"/>
      <c r="E811" s="3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37"/>
      <c r="B812" s="38"/>
      <c r="C812" s="38"/>
      <c r="D812" s="38"/>
      <c r="E812" s="3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37"/>
      <c r="B813" s="38"/>
      <c r="C813" s="38"/>
      <c r="D813" s="38"/>
      <c r="E813" s="3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37"/>
      <c r="B814" s="38"/>
      <c r="C814" s="38"/>
      <c r="D814" s="38"/>
      <c r="E814" s="3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37"/>
      <c r="B815" s="38"/>
      <c r="C815" s="38"/>
      <c r="D815" s="38"/>
      <c r="E815" s="3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37"/>
      <c r="B816" s="38"/>
      <c r="C816" s="38"/>
      <c r="D816" s="38"/>
      <c r="E816" s="3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37"/>
      <c r="B817" s="38"/>
      <c r="C817" s="38"/>
      <c r="D817" s="38"/>
      <c r="E817" s="3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37"/>
      <c r="B818" s="38"/>
      <c r="C818" s="38"/>
      <c r="D818" s="38"/>
      <c r="E818" s="3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37"/>
      <c r="B819" s="38"/>
      <c r="C819" s="38"/>
      <c r="D819" s="38"/>
      <c r="E819" s="3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37"/>
      <c r="B820" s="38"/>
      <c r="C820" s="38"/>
      <c r="D820" s="38"/>
      <c r="E820" s="3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37"/>
      <c r="B821" s="38"/>
      <c r="C821" s="38"/>
      <c r="D821" s="38"/>
      <c r="E821" s="3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37"/>
      <c r="B822" s="38"/>
      <c r="C822" s="38"/>
      <c r="D822" s="38"/>
      <c r="E822" s="3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37"/>
      <c r="B823" s="38"/>
      <c r="C823" s="38"/>
      <c r="D823" s="38"/>
      <c r="E823" s="3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37"/>
      <c r="B824" s="38"/>
      <c r="C824" s="38"/>
      <c r="D824" s="38"/>
      <c r="E824" s="3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37"/>
      <c r="B825" s="38"/>
      <c r="C825" s="38"/>
      <c r="D825" s="38"/>
      <c r="E825" s="3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37"/>
      <c r="B826" s="38"/>
      <c r="C826" s="38"/>
      <c r="D826" s="38"/>
      <c r="E826" s="3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37"/>
      <c r="B827" s="38"/>
      <c r="C827" s="38"/>
      <c r="D827" s="38"/>
      <c r="E827" s="3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37"/>
      <c r="B828" s="38"/>
      <c r="C828" s="38"/>
      <c r="D828" s="38"/>
      <c r="E828" s="3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37"/>
      <c r="B829" s="38"/>
      <c r="C829" s="38"/>
      <c r="D829" s="38"/>
      <c r="E829" s="3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37"/>
      <c r="B830" s="38"/>
      <c r="C830" s="38"/>
      <c r="D830" s="38"/>
      <c r="E830" s="3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37"/>
      <c r="B831" s="38"/>
      <c r="C831" s="38"/>
      <c r="D831" s="38"/>
      <c r="E831" s="3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37"/>
      <c r="B832" s="38"/>
      <c r="C832" s="38"/>
      <c r="D832" s="38"/>
      <c r="E832" s="3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37"/>
      <c r="B833" s="38"/>
      <c r="C833" s="38"/>
      <c r="D833" s="38"/>
      <c r="E833" s="3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37"/>
      <c r="B834" s="38"/>
      <c r="C834" s="38"/>
      <c r="D834" s="38"/>
      <c r="E834" s="3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37"/>
      <c r="B835" s="38"/>
      <c r="C835" s="38"/>
      <c r="D835" s="38"/>
      <c r="E835" s="3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37"/>
      <c r="B836" s="38"/>
      <c r="C836" s="38"/>
      <c r="D836" s="38"/>
      <c r="E836" s="3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37"/>
      <c r="B837" s="38"/>
      <c r="C837" s="38"/>
      <c r="D837" s="38"/>
      <c r="E837" s="3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37"/>
      <c r="B838" s="38"/>
      <c r="C838" s="38"/>
      <c r="D838" s="38"/>
      <c r="E838" s="3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37"/>
      <c r="B839" s="38"/>
      <c r="C839" s="38"/>
      <c r="D839" s="38"/>
      <c r="E839" s="3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37"/>
      <c r="B840" s="38"/>
      <c r="C840" s="38"/>
      <c r="D840" s="38"/>
      <c r="E840" s="3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37"/>
      <c r="B841" s="38"/>
      <c r="C841" s="38"/>
      <c r="D841" s="38"/>
      <c r="E841" s="3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37"/>
      <c r="B842" s="38"/>
      <c r="C842" s="38"/>
      <c r="D842" s="38"/>
      <c r="E842" s="3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37"/>
      <c r="B843" s="38"/>
      <c r="C843" s="38"/>
      <c r="D843" s="38"/>
      <c r="E843" s="3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37"/>
      <c r="B844" s="38"/>
      <c r="C844" s="38"/>
      <c r="D844" s="38"/>
      <c r="E844" s="3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37"/>
      <c r="B845" s="38"/>
      <c r="C845" s="38"/>
      <c r="D845" s="38"/>
      <c r="E845" s="3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37"/>
      <c r="B846" s="38"/>
      <c r="C846" s="38"/>
      <c r="D846" s="38"/>
      <c r="E846" s="3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37"/>
      <c r="B847" s="38"/>
      <c r="C847" s="38"/>
      <c r="D847" s="38"/>
      <c r="E847" s="3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37"/>
      <c r="B848" s="38"/>
      <c r="C848" s="38"/>
      <c r="D848" s="38"/>
      <c r="E848" s="3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37"/>
      <c r="B849" s="38"/>
      <c r="C849" s="38"/>
      <c r="D849" s="38"/>
      <c r="E849" s="3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37"/>
      <c r="B850" s="38"/>
      <c r="C850" s="38"/>
      <c r="D850" s="38"/>
      <c r="E850" s="3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37"/>
      <c r="B851" s="38"/>
      <c r="C851" s="38"/>
      <c r="D851" s="38"/>
      <c r="E851" s="3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37"/>
      <c r="B852" s="38"/>
      <c r="C852" s="38"/>
      <c r="D852" s="38"/>
      <c r="E852" s="3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37"/>
      <c r="B853" s="38"/>
      <c r="C853" s="38"/>
      <c r="D853" s="38"/>
      <c r="E853" s="3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37"/>
      <c r="B854" s="38"/>
      <c r="C854" s="38"/>
      <c r="D854" s="38"/>
      <c r="E854" s="3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37"/>
      <c r="B855" s="38"/>
      <c r="C855" s="38"/>
      <c r="D855" s="38"/>
      <c r="E855" s="3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37"/>
      <c r="B856" s="38"/>
      <c r="C856" s="38"/>
      <c r="D856" s="38"/>
      <c r="E856" s="3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37"/>
      <c r="B857" s="38"/>
      <c r="C857" s="38"/>
      <c r="D857" s="38"/>
      <c r="E857" s="3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37"/>
      <c r="B858" s="38"/>
      <c r="C858" s="38"/>
      <c r="D858" s="38"/>
      <c r="E858" s="3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37"/>
      <c r="B859" s="38"/>
      <c r="C859" s="38"/>
      <c r="D859" s="38"/>
      <c r="E859" s="3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37"/>
      <c r="B860" s="38"/>
      <c r="C860" s="38"/>
      <c r="D860" s="38"/>
      <c r="E860" s="3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37"/>
      <c r="B861" s="38"/>
      <c r="C861" s="38"/>
      <c r="D861" s="38"/>
      <c r="E861" s="3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37"/>
      <c r="B862" s="38"/>
      <c r="C862" s="38"/>
      <c r="D862" s="38"/>
      <c r="E862" s="3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37"/>
      <c r="B863" s="38"/>
      <c r="C863" s="38"/>
      <c r="D863" s="38"/>
      <c r="E863" s="3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37"/>
      <c r="B864" s="38"/>
      <c r="C864" s="38"/>
      <c r="D864" s="38"/>
      <c r="E864" s="3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37"/>
      <c r="B865" s="38"/>
      <c r="C865" s="38"/>
      <c r="D865" s="38"/>
      <c r="E865" s="3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37"/>
      <c r="B866" s="38"/>
      <c r="C866" s="38"/>
      <c r="D866" s="38"/>
      <c r="E866" s="3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37"/>
      <c r="B867" s="38"/>
      <c r="C867" s="38"/>
      <c r="D867" s="38"/>
      <c r="E867" s="3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37"/>
      <c r="B868" s="38"/>
      <c r="C868" s="38"/>
      <c r="D868" s="38"/>
      <c r="E868" s="3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37"/>
      <c r="B869" s="38"/>
      <c r="C869" s="38"/>
      <c r="D869" s="38"/>
      <c r="E869" s="3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37"/>
      <c r="B870" s="38"/>
      <c r="C870" s="38"/>
      <c r="D870" s="38"/>
      <c r="E870" s="3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37"/>
      <c r="B871" s="38"/>
      <c r="C871" s="38"/>
      <c r="D871" s="38"/>
      <c r="E871" s="3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37"/>
      <c r="B872" s="38"/>
      <c r="C872" s="38"/>
      <c r="D872" s="38"/>
      <c r="E872" s="3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37"/>
      <c r="B873" s="38"/>
      <c r="C873" s="38"/>
      <c r="D873" s="38"/>
      <c r="E873" s="3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37"/>
      <c r="B874" s="38"/>
      <c r="C874" s="38"/>
      <c r="D874" s="38"/>
      <c r="E874" s="3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37"/>
      <c r="B875" s="38"/>
      <c r="C875" s="38"/>
      <c r="D875" s="38"/>
      <c r="E875" s="3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37"/>
      <c r="B876" s="38"/>
      <c r="C876" s="38"/>
      <c r="D876" s="38"/>
      <c r="E876" s="3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37"/>
      <c r="B877" s="38"/>
      <c r="C877" s="38"/>
      <c r="D877" s="38"/>
      <c r="E877" s="3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37"/>
      <c r="B878" s="38"/>
      <c r="C878" s="38"/>
      <c r="D878" s="38"/>
      <c r="E878" s="3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37"/>
      <c r="B879" s="38"/>
      <c r="C879" s="38"/>
      <c r="D879" s="38"/>
      <c r="E879" s="3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37"/>
      <c r="B880" s="38"/>
      <c r="C880" s="38"/>
      <c r="D880" s="38"/>
      <c r="E880" s="3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37"/>
      <c r="B881" s="38"/>
      <c r="C881" s="38"/>
      <c r="D881" s="38"/>
      <c r="E881" s="3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37"/>
      <c r="B882" s="38"/>
      <c r="C882" s="38"/>
      <c r="D882" s="38"/>
      <c r="E882" s="3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37"/>
      <c r="B883" s="38"/>
      <c r="C883" s="38"/>
      <c r="D883" s="38"/>
      <c r="E883" s="3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37"/>
      <c r="B884" s="38"/>
      <c r="C884" s="38"/>
      <c r="D884" s="38"/>
      <c r="E884" s="3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37"/>
      <c r="B885" s="38"/>
      <c r="C885" s="38"/>
      <c r="D885" s="38"/>
      <c r="E885" s="3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37"/>
      <c r="B886" s="38"/>
      <c r="C886" s="38"/>
      <c r="D886" s="38"/>
      <c r="E886" s="3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37"/>
      <c r="B887" s="38"/>
      <c r="C887" s="38"/>
      <c r="D887" s="38"/>
      <c r="E887" s="3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37"/>
      <c r="B888" s="38"/>
      <c r="C888" s="38"/>
      <c r="D888" s="38"/>
      <c r="E888" s="3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37"/>
      <c r="B889" s="38"/>
      <c r="C889" s="38"/>
      <c r="D889" s="38"/>
      <c r="E889" s="3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37"/>
      <c r="B890" s="38"/>
      <c r="C890" s="38"/>
      <c r="D890" s="38"/>
      <c r="E890" s="3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37"/>
      <c r="B891" s="38"/>
      <c r="C891" s="38"/>
      <c r="D891" s="38"/>
      <c r="E891" s="3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37"/>
      <c r="B892" s="38"/>
      <c r="C892" s="38"/>
      <c r="D892" s="38"/>
      <c r="E892" s="3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37"/>
      <c r="B893" s="38"/>
      <c r="C893" s="38"/>
      <c r="D893" s="38"/>
      <c r="E893" s="3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37"/>
      <c r="B894" s="38"/>
      <c r="C894" s="38"/>
      <c r="D894" s="38"/>
      <c r="E894" s="3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37"/>
      <c r="B895" s="38"/>
      <c r="C895" s="38"/>
      <c r="D895" s="38"/>
      <c r="E895" s="3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37"/>
      <c r="B896" s="38"/>
      <c r="C896" s="38"/>
      <c r="D896" s="38"/>
      <c r="E896" s="3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37"/>
      <c r="B897" s="38"/>
      <c r="C897" s="38"/>
      <c r="D897" s="38"/>
      <c r="E897" s="3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37"/>
      <c r="B898" s="38"/>
      <c r="C898" s="38"/>
      <c r="D898" s="38"/>
      <c r="E898" s="3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37"/>
      <c r="B899" s="38"/>
      <c r="C899" s="38"/>
      <c r="D899" s="38"/>
      <c r="E899" s="3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37"/>
      <c r="B900" s="38"/>
      <c r="C900" s="38"/>
      <c r="D900" s="38"/>
      <c r="E900" s="3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37"/>
      <c r="B901" s="38"/>
      <c r="C901" s="38"/>
      <c r="D901" s="38"/>
      <c r="E901" s="3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37"/>
      <c r="B902" s="38"/>
      <c r="C902" s="38"/>
      <c r="D902" s="38"/>
      <c r="E902" s="3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37"/>
      <c r="B903" s="38"/>
      <c r="C903" s="38"/>
      <c r="D903" s="38"/>
      <c r="E903" s="3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37"/>
      <c r="B904" s="38"/>
      <c r="C904" s="38"/>
      <c r="D904" s="38"/>
      <c r="E904" s="3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37"/>
      <c r="B905" s="38"/>
      <c r="C905" s="38"/>
      <c r="D905" s="38"/>
      <c r="E905" s="3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37"/>
      <c r="B906" s="38"/>
      <c r="C906" s="38"/>
      <c r="D906" s="38"/>
      <c r="E906" s="3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37"/>
      <c r="B907" s="38"/>
      <c r="C907" s="38"/>
      <c r="D907" s="38"/>
      <c r="E907" s="3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37"/>
      <c r="B908" s="38"/>
      <c r="C908" s="38"/>
      <c r="D908" s="38"/>
      <c r="E908" s="3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37"/>
      <c r="B909" s="38"/>
      <c r="C909" s="38"/>
      <c r="D909" s="38"/>
      <c r="E909" s="3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37"/>
      <c r="B910" s="38"/>
      <c r="C910" s="38"/>
      <c r="D910" s="38"/>
      <c r="E910" s="3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37"/>
      <c r="B911" s="38"/>
      <c r="C911" s="38"/>
      <c r="D911" s="38"/>
      <c r="E911" s="3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37"/>
      <c r="B912" s="38"/>
      <c r="C912" s="38"/>
      <c r="D912" s="38"/>
      <c r="E912" s="3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37"/>
      <c r="B913" s="38"/>
      <c r="C913" s="38"/>
      <c r="D913" s="38"/>
      <c r="E913" s="3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37"/>
      <c r="B914" s="38"/>
      <c r="C914" s="38"/>
      <c r="D914" s="38"/>
      <c r="E914" s="3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37"/>
      <c r="B915" s="38"/>
      <c r="C915" s="38"/>
      <c r="D915" s="38"/>
      <c r="E915" s="3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37"/>
      <c r="B916" s="38"/>
      <c r="C916" s="38"/>
      <c r="D916" s="38"/>
      <c r="E916" s="3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37"/>
      <c r="B917" s="38"/>
      <c r="C917" s="38"/>
      <c r="D917" s="38"/>
      <c r="E917" s="3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37"/>
      <c r="B918" s="38"/>
      <c r="C918" s="38"/>
      <c r="D918" s="38"/>
      <c r="E918" s="3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37"/>
      <c r="B919" s="38"/>
      <c r="C919" s="38"/>
      <c r="D919" s="38"/>
      <c r="E919" s="3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37"/>
      <c r="B920" s="38"/>
      <c r="C920" s="38"/>
      <c r="D920" s="38"/>
      <c r="E920" s="3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37"/>
      <c r="B921" s="38"/>
      <c r="C921" s="38"/>
      <c r="D921" s="38"/>
      <c r="E921" s="3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37"/>
      <c r="B922" s="38"/>
      <c r="C922" s="38"/>
      <c r="D922" s="38"/>
      <c r="E922" s="3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37"/>
      <c r="B923" s="38"/>
      <c r="C923" s="38"/>
      <c r="D923" s="38"/>
      <c r="E923" s="3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37"/>
      <c r="B924" s="38"/>
      <c r="C924" s="38"/>
      <c r="D924" s="38"/>
      <c r="E924" s="3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37"/>
      <c r="B925" s="38"/>
      <c r="C925" s="38"/>
      <c r="D925" s="38"/>
      <c r="E925" s="3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37"/>
      <c r="B926" s="38"/>
      <c r="C926" s="38"/>
      <c r="D926" s="38"/>
      <c r="E926" s="3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37"/>
      <c r="B927" s="38"/>
      <c r="C927" s="38"/>
      <c r="D927" s="38"/>
      <c r="E927" s="3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37"/>
      <c r="B928" s="38"/>
      <c r="C928" s="38"/>
      <c r="D928" s="38"/>
      <c r="E928" s="3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37"/>
      <c r="B929" s="38"/>
      <c r="C929" s="38"/>
      <c r="D929" s="38"/>
      <c r="E929" s="3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37"/>
      <c r="B930" s="38"/>
      <c r="C930" s="38"/>
      <c r="D930" s="38"/>
      <c r="E930" s="3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37"/>
      <c r="B931" s="38"/>
      <c r="C931" s="38"/>
      <c r="D931" s="38"/>
      <c r="E931" s="3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37"/>
      <c r="B932" s="38"/>
      <c r="C932" s="38"/>
      <c r="D932" s="38"/>
      <c r="E932" s="3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37"/>
      <c r="B933" s="38"/>
      <c r="C933" s="38"/>
      <c r="D933" s="38"/>
      <c r="E933" s="3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37"/>
      <c r="B934" s="38"/>
      <c r="C934" s="38"/>
      <c r="D934" s="38"/>
      <c r="E934" s="3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37"/>
      <c r="B935" s="38"/>
      <c r="C935" s="38"/>
      <c r="D935" s="38"/>
      <c r="E935" s="3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37"/>
      <c r="B936" s="38"/>
      <c r="C936" s="38"/>
      <c r="D936" s="38"/>
      <c r="E936" s="3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37"/>
      <c r="B937" s="38"/>
      <c r="C937" s="38"/>
      <c r="D937" s="38"/>
      <c r="E937" s="3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37"/>
      <c r="B938" s="38"/>
      <c r="C938" s="38"/>
      <c r="D938" s="38"/>
      <c r="E938" s="3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37"/>
      <c r="B939" s="38"/>
      <c r="C939" s="38"/>
      <c r="D939" s="38"/>
      <c r="E939" s="3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37"/>
      <c r="B940" s="38"/>
      <c r="C940" s="38"/>
      <c r="D940" s="38"/>
      <c r="E940" s="3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37"/>
      <c r="B941" s="38"/>
      <c r="C941" s="38"/>
      <c r="D941" s="38"/>
      <c r="E941" s="3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37"/>
      <c r="B942" s="38"/>
      <c r="C942" s="38"/>
      <c r="D942" s="38"/>
      <c r="E942" s="3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37"/>
      <c r="B943" s="38"/>
      <c r="C943" s="38"/>
      <c r="D943" s="38"/>
      <c r="E943" s="3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37"/>
      <c r="B944" s="38"/>
      <c r="C944" s="38"/>
      <c r="D944" s="38"/>
      <c r="E944" s="3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37"/>
      <c r="B945" s="38"/>
      <c r="C945" s="38"/>
      <c r="D945" s="38"/>
      <c r="E945" s="3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37"/>
      <c r="B946" s="38"/>
      <c r="C946" s="38"/>
      <c r="D946" s="38"/>
      <c r="E946" s="3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37"/>
      <c r="B947" s="38"/>
      <c r="C947" s="38"/>
      <c r="D947" s="38"/>
      <c r="E947" s="3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37"/>
      <c r="B948" s="38"/>
      <c r="C948" s="38"/>
      <c r="D948" s="38"/>
      <c r="E948" s="3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37"/>
      <c r="B949" s="38"/>
      <c r="C949" s="38"/>
      <c r="D949" s="38"/>
      <c r="E949" s="3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37"/>
      <c r="B950" s="38"/>
      <c r="C950" s="38"/>
      <c r="D950" s="38"/>
      <c r="E950" s="3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37"/>
      <c r="B951" s="38"/>
      <c r="C951" s="38"/>
      <c r="D951" s="38"/>
      <c r="E951" s="3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37"/>
      <c r="B952" s="38"/>
      <c r="C952" s="38"/>
      <c r="D952" s="38"/>
      <c r="E952" s="3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37"/>
      <c r="B953" s="38"/>
      <c r="C953" s="38"/>
      <c r="D953" s="38"/>
      <c r="E953" s="3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37"/>
      <c r="B954" s="38"/>
      <c r="C954" s="38"/>
      <c r="D954" s="38"/>
      <c r="E954" s="3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37"/>
      <c r="B955" s="38"/>
      <c r="C955" s="38"/>
      <c r="D955" s="38"/>
      <c r="E955" s="3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37"/>
      <c r="B956" s="38"/>
      <c r="C956" s="38"/>
      <c r="D956" s="38"/>
      <c r="E956" s="3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37"/>
      <c r="B957" s="38"/>
      <c r="C957" s="38"/>
      <c r="D957" s="38"/>
      <c r="E957" s="3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37"/>
      <c r="B958" s="38"/>
      <c r="C958" s="38"/>
      <c r="D958" s="38"/>
      <c r="E958" s="3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37"/>
      <c r="B959" s="38"/>
      <c r="C959" s="38"/>
      <c r="D959" s="38"/>
      <c r="E959" s="3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37"/>
      <c r="B960" s="38"/>
      <c r="C960" s="38"/>
      <c r="D960" s="38"/>
      <c r="E960" s="3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37"/>
      <c r="B961" s="38"/>
      <c r="C961" s="38"/>
      <c r="D961" s="38"/>
      <c r="E961" s="3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37"/>
      <c r="B962" s="38"/>
      <c r="C962" s="38"/>
      <c r="D962" s="38"/>
      <c r="E962" s="3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37"/>
      <c r="B963" s="38"/>
      <c r="C963" s="38"/>
      <c r="D963" s="38"/>
      <c r="E963" s="3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37"/>
      <c r="B964" s="38"/>
      <c r="C964" s="38"/>
      <c r="D964" s="38"/>
      <c r="E964" s="3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37"/>
      <c r="B965" s="38"/>
      <c r="C965" s="38"/>
      <c r="D965" s="38"/>
      <c r="E965" s="3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37"/>
      <c r="B966" s="38"/>
      <c r="C966" s="38"/>
      <c r="D966" s="38"/>
      <c r="E966" s="3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37"/>
      <c r="B967" s="38"/>
      <c r="C967" s="38"/>
      <c r="D967" s="38"/>
      <c r="E967" s="3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37"/>
      <c r="B968" s="38"/>
      <c r="C968" s="38"/>
      <c r="D968" s="38"/>
      <c r="E968" s="3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37"/>
      <c r="B969" s="38"/>
      <c r="C969" s="38"/>
      <c r="D969" s="38"/>
      <c r="E969" s="3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37"/>
      <c r="B970" s="38"/>
      <c r="C970" s="38"/>
      <c r="D970" s="38"/>
      <c r="E970" s="3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37"/>
      <c r="B971" s="38"/>
      <c r="C971" s="38"/>
      <c r="D971" s="38"/>
      <c r="E971" s="3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37"/>
      <c r="B972" s="38"/>
      <c r="C972" s="38"/>
      <c r="D972" s="38"/>
      <c r="E972" s="3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37"/>
      <c r="B973" s="38"/>
      <c r="C973" s="38"/>
      <c r="D973" s="38"/>
      <c r="E973" s="3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37"/>
      <c r="B974" s="38"/>
      <c r="C974" s="38"/>
      <c r="D974" s="38"/>
      <c r="E974" s="3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37"/>
      <c r="B975" s="38"/>
      <c r="C975" s="38"/>
      <c r="D975" s="38"/>
      <c r="E975" s="3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37"/>
      <c r="B976" s="38"/>
      <c r="C976" s="38"/>
      <c r="D976" s="38"/>
      <c r="E976" s="3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37"/>
      <c r="B977" s="38"/>
      <c r="C977" s="38"/>
      <c r="D977" s="38"/>
      <c r="E977" s="3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37"/>
      <c r="B978" s="38"/>
      <c r="C978" s="38"/>
      <c r="D978" s="38"/>
      <c r="E978" s="3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37"/>
      <c r="B979" s="38"/>
      <c r="C979" s="38"/>
      <c r="D979" s="38"/>
      <c r="E979" s="3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37"/>
      <c r="B980" s="38"/>
      <c r="C980" s="38"/>
      <c r="D980" s="38"/>
      <c r="E980" s="3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37"/>
      <c r="B981" s="38"/>
      <c r="C981" s="38"/>
      <c r="D981" s="38"/>
      <c r="E981" s="3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37"/>
      <c r="B982" s="38"/>
      <c r="C982" s="38"/>
      <c r="D982" s="38"/>
      <c r="E982" s="3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37"/>
      <c r="B983" s="38"/>
      <c r="C983" s="38"/>
      <c r="D983" s="38"/>
      <c r="E983" s="3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37"/>
      <c r="B984" s="38"/>
      <c r="C984" s="38"/>
      <c r="D984" s="38"/>
      <c r="E984" s="3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37"/>
      <c r="B985" s="38"/>
      <c r="C985" s="38"/>
      <c r="D985" s="38"/>
      <c r="E985" s="3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37"/>
      <c r="B986" s="38"/>
      <c r="C986" s="38"/>
      <c r="D986" s="38"/>
      <c r="E986" s="3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37"/>
      <c r="B987" s="38"/>
      <c r="C987" s="38"/>
      <c r="D987" s="38"/>
      <c r="E987" s="3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37"/>
      <c r="B988" s="38"/>
      <c r="C988" s="38"/>
      <c r="D988" s="38"/>
      <c r="E988" s="3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37"/>
      <c r="B989" s="38"/>
      <c r="C989" s="38"/>
      <c r="D989" s="38"/>
      <c r="E989" s="3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37"/>
      <c r="B990" s="38"/>
      <c r="C990" s="38"/>
      <c r="D990" s="38"/>
      <c r="E990" s="3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37"/>
      <c r="B991" s="38"/>
      <c r="C991" s="38"/>
      <c r="D991" s="38"/>
      <c r="E991" s="3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37"/>
      <c r="B992" s="38"/>
      <c r="C992" s="38"/>
      <c r="D992" s="38"/>
      <c r="E992" s="3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37"/>
      <c r="B993" s="38"/>
      <c r="C993" s="38"/>
      <c r="D993" s="38"/>
      <c r="E993" s="3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37"/>
      <c r="B994" s="38"/>
      <c r="C994" s="38"/>
      <c r="D994" s="38"/>
      <c r="E994" s="3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37"/>
      <c r="B995" s="38"/>
      <c r="C995" s="38"/>
      <c r="D995" s="38"/>
      <c r="E995" s="3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37"/>
      <c r="B996" s="38"/>
      <c r="C996" s="38"/>
      <c r="D996" s="38"/>
      <c r="E996" s="3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37"/>
      <c r="B997" s="38"/>
      <c r="C997" s="38"/>
      <c r="D997" s="38"/>
      <c r="E997" s="3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37"/>
      <c r="B998" s="38"/>
      <c r="C998" s="38"/>
      <c r="D998" s="38"/>
      <c r="E998" s="3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37"/>
      <c r="B999" s="38"/>
      <c r="C999" s="38"/>
      <c r="D999" s="38"/>
      <c r="E999" s="3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37"/>
      <c r="B1000" s="38"/>
      <c r="C1000" s="38"/>
      <c r="D1000" s="38"/>
      <c r="E1000" s="3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0">
    <mergeCell ref="A66:E66"/>
    <mergeCell ref="A67:E67"/>
    <mergeCell ref="A68:E68"/>
    <mergeCell ref="A69:E69"/>
    <mergeCell ref="A59:E59"/>
    <mergeCell ref="A60:E60"/>
    <mergeCell ref="A61:E61"/>
    <mergeCell ref="A62:E62"/>
    <mergeCell ref="A63:E63"/>
    <mergeCell ref="A64:E64"/>
    <mergeCell ref="A65:E65"/>
    <mergeCell ref="A5:E5"/>
    <mergeCell ref="A6:E6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</mergeCells>
  <hyperlinks>
    <hyperlink r:id="rId1" ref="E7"/>
    <hyperlink r:id="rId2" ref="E8"/>
    <hyperlink r:id="rId3" ref="E9"/>
    <hyperlink r:id="rId4" ref="E10"/>
    <hyperlink r:id="rId5" ref="E11"/>
  </hyperlinks>
  <printOptions horizontalCentered="1" verticalCentered="1"/>
  <pageMargins bottom="0.3937007874015748" footer="0.0" header="0.0" left="0.1968503937007874" right="0.1968503937007874" top="0.3937007874015748"/>
  <pageSetup paperSize="9" orientation="portrait"/>
  <headerFooter>
    <oddHeader>&amp;R&amp;F  Page &amp;P of </oddHead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25"/>
    <col customWidth="1" min="3" max="3" width="37.38"/>
    <col customWidth="1" min="4" max="4" width="6.25"/>
    <col customWidth="1" min="5" max="5" width="37.25"/>
    <col customWidth="1" min="6" max="6" width="6.25"/>
    <col customWidth="1" min="7" max="26" width="9.13"/>
  </cols>
  <sheetData>
    <row r="1">
      <c r="A1" s="40"/>
      <c r="B1" s="41"/>
      <c r="C1" s="20"/>
      <c r="D1" s="41"/>
      <c r="E1" s="20"/>
      <c r="F1" s="4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40"/>
      <c r="B2" s="41"/>
      <c r="C2" s="20"/>
      <c r="D2" s="41"/>
      <c r="E2" s="20"/>
      <c r="F2" s="4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40"/>
      <c r="B3" s="41"/>
      <c r="C3" s="20"/>
      <c r="D3" s="41"/>
      <c r="E3" s="20"/>
      <c r="F3" s="41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40"/>
      <c r="B4" s="41"/>
      <c r="C4" s="20"/>
      <c r="D4" s="41"/>
      <c r="E4" s="20"/>
      <c r="F4" s="41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40"/>
      <c r="B5" s="41"/>
      <c r="C5" s="20"/>
      <c r="D5" s="41"/>
      <c r="E5" s="20"/>
      <c r="F5" s="4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40"/>
      <c r="B6" s="41"/>
      <c r="C6" s="20"/>
      <c r="D6" s="41"/>
      <c r="E6" s="20"/>
      <c r="F6" s="41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40"/>
      <c r="B7" s="41"/>
      <c r="C7" s="20"/>
      <c r="D7" s="41"/>
      <c r="E7" s="20"/>
      <c r="F7" s="41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0" customHeight="1">
      <c r="A8" s="42" t="s">
        <v>80</v>
      </c>
      <c r="E8" s="43" t="s">
        <v>81</v>
      </c>
      <c r="F8" s="44" t="s">
        <v>82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0" customHeight="1">
      <c r="E9" s="45" t="s">
        <v>83</v>
      </c>
      <c r="F9" s="46" t="s">
        <v>84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0" customHeight="1">
      <c r="E10" s="45" t="s">
        <v>85</v>
      </c>
      <c r="F10" s="46" t="s">
        <v>86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E11" s="45" t="s">
        <v>87</v>
      </c>
      <c r="F11" s="47" t="s">
        <v>88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0" customHeight="1">
      <c r="E12" s="45" t="s">
        <v>89</v>
      </c>
      <c r="F12" s="48">
        <v>18.0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0" customHeight="1">
      <c r="E13" s="45" t="s">
        <v>90</v>
      </c>
      <c r="F13" s="48">
        <v>19.0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E14" s="49" t="s">
        <v>91</v>
      </c>
      <c r="F14" s="50">
        <v>20.0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0" customHeight="1">
      <c r="A15" s="51"/>
      <c r="B15" s="51"/>
      <c r="C15" s="51"/>
      <c r="D15" s="51"/>
      <c r="E15" s="52"/>
      <c r="F15" s="53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0" customHeight="1">
      <c r="A16" s="54" t="s">
        <v>92</v>
      </c>
      <c r="B16" s="55" t="s">
        <v>93</v>
      </c>
      <c r="C16" s="55" t="s">
        <v>92</v>
      </c>
      <c r="D16" s="55" t="s">
        <v>93</v>
      </c>
      <c r="E16" s="55" t="s">
        <v>92</v>
      </c>
      <c r="F16" s="56" t="s">
        <v>93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0" customHeight="1">
      <c r="A17" s="57" t="s">
        <v>94</v>
      </c>
      <c r="B17" s="58">
        <v>5.0</v>
      </c>
      <c r="C17" s="57" t="s">
        <v>95</v>
      </c>
      <c r="D17" s="58">
        <v>6.0</v>
      </c>
      <c r="E17" s="57" t="s">
        <v>96</v>
      </c>
      <c r="F17" s="58">
        <v>9.0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0" customHeight="1">
      <c r="A18" s="59" t="s">
        <v>97</v>
      </c>
      <c r="B18" s="60">
        <v>5.0</v>
      </c>
      <c r="C18" s="61" t="s">
        <v>98</v>
      </c>
      <c r="D18" s="62">
        <v>20.0</v>
      </c>
      <c r="E18" s="59" t="s">
        <v>99</v>
      </c>
      <c r="F18" s="60">
        <v>9.0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0" customHeight="1">
      <c r="A19" s="59" t="s">
        <v>100</v>
      </c>
      <c r="B19" s="60">
        <v>5.0</v>
      </c>
      <c r="C19" s="59" t="s">
        <v>101</v>
      </c>
      <c r="D19" s="60">
        <v>6.0</v>
      </c>
      <c r="E19" s="59" t="s">
        <v>102</v>
      </c>
      <c r="F19" s="60">
        <v>9.0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0" customHeight="1">
      <c r="A20" s="59" t="s">
        <v>103</v>
      </c>
      <c r="B20" s="60">
        <v>5.0</v>
      </c>
      <c r="C20" s="59" t="s">
        <v>104</v>
      </c>
      <c r="D20" s="60">
        <v>6.0</v>
      </c>
      <c r="E20" s="59" t="s">
        <v>105</v>
      </c>
      <c r="F20" s="60">
        <v>10.0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0" customHeight="1">
      <c r="A21" s="59" t="s">
        <v>106</v>
      </c>
      <c r="B21" s="60">
        <v>20.0</v>
      </c>
      <c r="C21" s="59" t="s">
        <v>107</v>
      </c>
      <c r="D21" s="60">
        <v>7.0</v>
      </c>
      <c r="E21" s="59" t="s">
        <v>108</v>
      </c>
      <c r="F21" s="60">
        <v>10.0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0" customHeight="1">
      <c r="A22" s="59" t="s">
        <v>109</v>
      </c>
      <c r="B22" s="60">
        <v>3.0</v>
      </c>
      <c r="C22" s="59" t="s">
        <v>110</v>
      </c>
      <c r="D22" s="60">
        <v>7.0</v>
      </c>
      <c r="E22" s="59" t="s">
        <v>111</v>
      </c>
      <c r="F22" s="60">
        <v>10.0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0" customHeight="1">
      <c r="A23" s="59" t="s">
        <v>112</v>
      </c>
      <c r="B23" s="60">
        <v>5.0</v>
      </c>
      <c r="C23" s="59" t="s">
        <v>113</v>
      </c>
      <c r="D23" s="60">
        <v>7.0</v>
      </c>
      <c r="E23" s="59" t="s">
        <v>114</v>
      </c>
      <c r="F23" s="60">
        <v>10.0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0" customHeight="1">
      <c r="A24" s="59" t="s">
        <v>115</v>
      </c>
      <c r="B24" s="60">
        <v>17.0</v>
      </c>
      <c r="C24" s="59" t="s">
        <v>116</v>
      </c>
      <c r="D24" s="60">
        <v>15.0</v>
      </c>
      <c r="E24" s="59" t="s">
        <v>117</v>
      </c>
      <c r="F24" s="63">
        <v>11.0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0" customHeight="1">
      <c r="A25" s="59" t="s">
        <v>118</v>
      </c>
      <c r="B25" s="60">
        <v>16.0</v>
      </c>
      <c r="C25" s="59" t="s">
        <v>119</v>
      </c>
      <c r="D25" s="60">
        <v>15.0</v>
      </c>
      <c r="E25" s="59" t="s">
        <v>120</v>
      </c>
      <c r="F25" s="60">
        <v>11.0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0" customHeight="1">
      <c r="A26" s="59" t="s">
        <v>121</v>
      </c>
      <c r="B26" s="60">
        <v>17.0</v>
      </c>
      <c r="C26" s="59" t="s">
        <v>122</v>
      </c>
      <c r="D26" s="60">
        <v>15.0</v>
      </c>
      <c r="E26" s="59" t="s">
        <v>123</v>
      </c>
      <c r="F26" s="60">
        <v>11.0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0" customHeight="1">
      <c r="A27" s="59" t="s">
        <v>124</v>
      </c>
      <c r="B27" s="60">
        <v>16.0</v>
      </c>
      <c r="C27" s="59" t="s">
        <v>89</v>
      </c>
      <c r="D27" s="60">
        <v>7.0</v>
      </c>
      <c r="E27" s="59" t="s">
        <v>125</v>
      </c>
      <c r="F27" s="60">
        <v>11.0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0" customHeight="1">
      <c r="A28" s="59" t="s">
        <v>126</v>
      </c>
      <c r="B28" s="60">
        <v>17.0</v>
      </c>
      <c r="C28" s="64" t="s">
        <v>127</v>
      </c>
      <c r="D28" s="60">
        <v>19.0</v>
      </c>
      <c r="E28" s="59" t="s">
        <v>128</v>
      </c>
      <c r="F28" s="60">
        <v>12.0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0" customHeight="1">
      <c r="A29" s="59" t="s">
        <v>129</v>
      </c>
      <c r="B29" s="60">
        <v>17.0</v>
      </c>
      <c r="C29" s="64" t="s">
        <v>130</v>
      </c>
      <c r="D29" s="62">
        <v>19.0</v>
      </c>
      <c r="E29" s="59" t="s">
        <v>131</v>
      </c>
      <c r="F29" s="60">
        <v>11.0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0" customHeight="1">
      <c r="A30" s="59" t="s">
        <v>132</v>
      </c>
      <c r="B30" s="60">
        <v>17.0</v>
      </c>
      <c r="C30" s="59" t="s">
        <v>133</v>
      </c>
      <c r="D30" s="60">
        <v>7.0</v>
      </c>
      <c r="E30" s="59" t="s">
        <v>134</v>
      </c>
      <c r="F30" s="60">
        <v>11.0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0" customHeight="1">
      <c r="A31" s="59" t="s">
        <v>135</v>
      </c>
      <c r="B31" s="60">
        <v>17.0</v>
      </c>
      <c r="C31" s="59" t="s">
        <v>136</v>
      </c>
      <c r="D31" s="60">
        <v>3.0</v>
      </c>
      <c r="E31" s="59" t="s">
        <v>137</v>
      </c>
      <c r="F31" s="60">
        <v>12.0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0" customHeight="1">
      <c r="A32" s="59" t="s">
        <v>138</v>
      </c>
      <c r="B32" s="60">
        <v>3.0</v>
      </c>
      <c r="C32" s="59" t="s">
        <v>139</v>
      </c>
      <c r="D32" s="60">
        <v>16.0</v>
      </c>
      <c r="E32" s="59" t="s">
        <v>140</v>
      </c>
      <c r="F32" s="60">
        <v>12.0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0" customHeight="1">
      <c r="A33" s="59" t="s">
        <v>141</v>
      </c>
      <c r="B33" s="60">
        <v>3.0</v>
      </c>
      <c r="C33" s="59" t="s">
        <v>142</v>
      </c>
      <c r="D33" s="60">
        <v>7.0</v>
      </c>
      <c r="E33" s="59" t="s">
        <v>143</v>
      </c>
      <c r="F33" s="60">
        <v>12.0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0" customHeight="1">
      <c r="A34" s="59" t="s">
        <v>144</v>
      </c>
      <c r="B34" s="60">
        <v>4.0</v>
      </c>
      <c r="C34" s="59" t="s">
        <v>145</v>
      </c>
      <c r="D34" s="60">
        <v>16.0</v>
      </c>
      <c r="E34" s="59" t="s">
        <v>146</v>
      </c>
      <c r="F34" s="60">
        <v>12.0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0" customHeight="1">
      <c r="A35" s="59" t="s">
        <v>147</v>
      </c>
      <c r="B35" s="60">
        <v>4.0</v>
      </c>
      <c r="C35" s="59" t="s">
        <v>148</v>
      </c>
      <c r="D35" s="60">
        <v>16.0</v>
      </c>
      <c r="E35" s="59" t="s">
        <v>149</v>
      </c>
      <c r="F35" s="60">
        <v>12.0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0" customHeight="1">
      <c r="A36" s="59" t="s">
        <v>150</v>
      </c>
      <c r="B36" s="60">
        <v>3.0</v>
      </c>
      <c r="C36" s="59" t="s">
        <v>151</v>
      </c>
      <c r="D36" s="60">
        <v>16.0</v>
      </c>
      <c r="E36" s="59" t="s">
        <v>152</v>
      </c>
      <c r="F36" s="60">
        <v>12.0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0" customHeight="1">
      <c r="A37" s="59" t="s">
        <v>153</v>
      </c>
      <c r="B37" s="60">
        <v>4.0</v>
      </c>
      <c r="C37" s="59" t="s">
        <v>154</v>
      </c>
      <c r="D37" s="60">
        <v>15.0</v>
      </c>
      <c r="E37" s="59" t="s">
        <v>155</v>
      </c>
      <c r="F37" s="60">
        <v>12.0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0" customHeight="1">
      <c r="A38" s="59" t="s">
        <v>156</v>
      </c>
      <c r="B38" s="60">
        <v>4.0</v>
      </c>
      <c r="C38" s="59" t="s">
        <v>157</v>
      </c>
      <c r="D38" s="60">
        <v>15.0</v>
      </c>
      <c r="E38" s="59" t="s">
        <v>158</v>
      </c>
      <c r="F38" s="60">
        <v>4.0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0" customHeight="1">
      <c r="A39" s="59" t="s">
        <v>159</v>
      </c>
      <c r="B39" s="60">
        <v>4.0</v>
      </c>
      <c r="C39" s="59" t="s">
        <v>160</v>
      </c>
      <c r="D39" s="60">
        <v>7.0</v>
      </c>
      <c r="E39" s="59" t="s">
        <v>161</v>
      </c>
      <c r="F39" s="60">
        <v>13.0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0" customHeight="1">
      <c r="A40" s="59" t="s">
        <v>162</v>
      </c>
      <c r="B40" s="60">
        <v>4.0</v>
      </c>
      <c r="C40" s="59" t="s">
        <v>163</v>
      </c>
      <c r="D40" s="60">
        <v>16.0</v>
      </c>
      <c r="E40" s="59" t="s">
        <v>164</v>
      </c>
      <c r="F40" s="60">
        <v>13.0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0" customHeight="1">
      <c r="A41" s="59" t="s">
        <v>165</v>
      </c>
      <c r="B41" s="60">
        <v>3.0</v>
      </c>
      <c r="C41" s="64" t="s">
        <v>166</v>
      </c>
      <c r="D41" s="60">
        <v>17.0</v>
      </c>
      <c r="E41" s="59" t="s">
        <v>167</v>
      </c>
      <c r="F41" s="60">
        <v>13.0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0" customHeight="1">
      <c r="A42" s="59" t="s">
        <v>168</v>
      </c>
      <c r="B42" s="60">
        <v>3.0</v>
      </c>
      <c r="C42" s="64" t="s">
        <v>169</v>
      </c>
      <c r="D42" s="60">
        <v>7.0</v>
      </c>
      <c r="E42" s="59" t="s">
        <v>170</v>
      </c>
      <c r="F42" s="60">
        <v>4.0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0" customHeight="1">
      <c r="A43" s="59" t="s">
        <v>171</v>
      </c>
      <c r="B43" s="60">
        <v>5.0</v>
      </c>
      <c r="C43" s="59" t="s">
        <v>172</v>
      </c>
      <c r="D43" s="60">
        <v>8.0</v>
      </c>
      <c r="E43" s="59" t="s">
        <v>173</v>
      </c>
      <c r="F43" s="60">
        <v>4.0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0" customHeight="1">
      <c r="A44" s="59" t="s">
        <v>174</v>
      </c>
      <c r="B44" s="60">
        <v>5.0</v>
      </c>
      <c r="C44" s="59" t="s">
        <v>175</v>
      </c>
      <c r="D44" s="60">
        <v>4.0</v>
      </c>
      <c r="E44" s="59" t="s">
        <v>176</v>
      </c>
      <c r="F44" s="60">
        <v>13.0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0" customHeight="1">
      <c r="A45" s="59" t="s">
        <v>177</v>
      </c>
      <c r="B45" s="60">
        <v>5.0</v>
      </c>
      <c r="C45" s="59" t="s">
        <v>178</v>
      </c>
      <c r="D45" s="60">
        <v>8.0</v>
      </c>
      <c r="E45" s="59" t="s">
        <v>179</v>
      </c>
      <c r="F45" s="60">
        <v>13.0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0" customHeight="1">
      <c r="A46" s="59" t="s">
        <v>180</v>
      </c>
      <c r="B46" s="60">
        <v>5.0</v>
      </c>
      <c r="C46" s="59" t="s">
        <v>181</v>
      </c>
      <c r="D46" s="60">
        <v>8.0</v>
      </c>
      <c r="E46" s="59" t="s">
        <v>182</v>
      </c>
      <c r="F46" s="60">
        <v>14.0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0" customHeight="1">
      <c r="A47" s="59" t="s">
        <v>183</v>
      </c>
      <c r="B47" s="60">
        <v>18.0</v>
      </c>
      <c r="C47" s="59" t="s">
        <v>184</v>
      </c>
      <c r="D47" s="60">
        <v>8.0</v>
      </c>
      <c r="E47" s="59" t="s">
        <v>185</v>
      </c>
      <c r="F47" s="60">
        <v>14.0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0" customHeight="1">
      <c r="A48" s="59" t="s">
        <v>186</v>
      </c>
      <c r="B48" s="60">
        <v>6.0</v>
      </c>
      <c r="C48" s="59" t="s">
        <v>187</v>
      </c>
      <c r="D48" s="60">
        <v>8.0</v>
      </c>
      <c r="E48" s="59" t="s">
        <v>188</v>
      </c>
      <c r="F48" s="60">
        <v>14.0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0" customHeight="1">
      <c r="A49" s="59" t="s">
        <v>189</v>
      </c>
      <c r="B49" s="60">
        <v>6.0</v>
      </c>
      <c r="C49" s="59" t="s">
        <v>190</v>
      </c>
      <c r="D49" s="60">
        <v>8.0</v>
      </c>
      <c r="E49" s="59" t="s">
        <v>191</v>
      </c>
      <c r="F49" s="60">
        <v>14.0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0" customHeight="1">
      <c r="A50" s="59" t="s">
        <v>192</v>
      </c>
      <c r="B50" s="60">
        <v>6.0</v>
      </c>
      <c r="C50" s="59" t="s">
        <v>193</v>
      </c>
      <c r="D50" s="60">
        <v>8.0</v>
      </c>
      <c r="E50" s="59" t="s">
        <v>194</v>
      </c>
      <c r="F50" s="60">
        <v>14.0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0" customHeight="1">
      <c r="A51" s="59" t="s">
        <v>195</v>
      </c>
      <c r="B51" s="60">
        <v>6.0</v>
      </c>
      <c r="C51" s="59" t="s">
        <v>196</v>
      </c>
      <c r="D51" s="60">
        <v>8.0</v>
      </c>
      <c r="E51" s="59"/>
      <c r="F51" s="65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0" customHeight="1">
      <c r="A52" s="40"/>
      <c r="B52" s="41"/>
      <c r="C52" s="20"/>
      <c r="D52" s="41"/>
      <c r="E52" s="20"/>
      <c r="F52" s="66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0" customHeight="1">
      <c r="A53" s="40"/>
      <c r="B53" s="41"/>
      <c r="C53" s="20"/>
      <c r="D53" s="41"/>
      <c r="E53" s="20"/>
      <c r="F53" s="66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0" customHeight="1">
      <c r="A54" s="40"/>
      <c r="B54" s="41"/>
      <c r="C54" s="20"/>
      <c r="D54" s="41"/>
      <c r="E54" s="20"/>
      <c r="F54" s="66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0" customHeight="1">
      <c r="A55" s="40"/>
      <c r="B55" s="41"/>
      <c r="C55" s="20"/>
      <c r="D55" s="41"/>
      <c r="E55" s="20"/>
      <c r="F55" s="66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0" customHeight="1">
      <c r="A56" s="40"/>
      <c r="B56" s="41"/>
      <c r="C56" s="20"/>
      <c r="D56" s="41"/>
      <c r="E56" s="20"/>
      <c r="F56" s="6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0" customHeight="1">
      <c r="A57" s="40"/>
      <c r="B57" s="41"/>
      <c r="C57" s="20"/>
      <c r="D57" s="41"/>
      <c r="E57" s="20"/>
      <c r="F57" s="66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0" customHeight="1">
      <c r="A58" s="40"/>
      <c r="B58" s="41"/>
      <c r="C58" s="20"/>
      <c r="D58" s="41"/>
      <c r="E58" s="20"/>
      <c r="F58" s="66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0" customHeight="1">
      <c r="A59" s="40"/>
      <c r="B59" s="41"/>
      <c r="C59" s="20"/>
      <c r="D59" s="41"/>
      <c r="E59" s="20"/>
      <c r="F59" s="66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0" customHeight="1">
      <c r="A60" s="40"/>
      <c r="B60" s="41"/>
      <c r="C60" s="20"/>
      <c r="D60" s="41"/>
      <c r="E60" s="20"/>
      <c r="F60" s="66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0" customHeight="1">
      <c r="A61" s="40"/>
      <c r="B61" s="41"/>
      <c r="C61" s="20"/>
      <c r="D61" s="41"/>
      <c r="E61" s="20"/>
      <c r="F61" s="66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0" customHeight="1">
      <c r="A62" s="40"/>
      <c r="B62" s="41"/>
      <c r="C62" s="20"/>
      <c r="D62" s="41"/>
      <c r="E62" s="20"/>
      <c r="F62" s="66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0" customHeight="1">
      <c r="A63" s="40"/>
      <c r="B63" s="41"/>
      <c r="C63" s="20"/>
      <c r="D63" s="41"/>
      <c r="E63" s="20"/>
      <c r="F63" s="66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40"/>
      <c r="B64" s="41"/>
      <c r="C64" s="20"/>
      <c r="D64" s="41"/>
      <c r="E64" s="20"/>
      <c r="F64" s="66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40"/>
      <c r="B65" s="41"/>
      <c r="C65" s="20"/>
      <c r="D65" s="41"/>
      <c r="E65" s="20"/>
      <c r="F65" s="66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40"/>
      <c r="B66" s="41"/>
      <c r="C66" s="20"/>
      <c r="D66" s="41"/>
      <c r="E66" s="20"/>
      <c r="F66" s="6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0"/>
      <c r="B67" s="41"/>
      <c r="C67" s="20"/>
      <c r="D67" s="41"/>
      <c r="E67" s="20"/>
      <c r="F67" s="6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40"/>
      <c r="B68" s="41"/>
      <c r="C68" s="20"/>
      <c r="D68" s="41"/>
      <c r="E68" s="20"/>
      <c r="F68" s="6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0"/>
      <c r="B69" s="41"/>
      <c r="C69" s="20"/>
      <c r="D69" s="41"/>
      <c r="E69" s="20"/>
      <c r="F69" s="6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40"/>
      <c r="B70" s="41"/>
      <c r="C70" s="20"/>
      <c r="D70" s="41"/>
      <c r="E70" s="20"/>
      <c r="F70" s="6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0"/>
      <c r="B71" s="41"/>
      <c r="C71" s="20"/>
      <c r="D71" s="41"/>
      <c r="E71" s="20"/>
      <c r="F71" s="6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40"/>
      <c r="B72" s="41"/>
      <c r="C72" s="20"/>
      <c r="D72" s="41"/>
      <c r="E72" s="20"/>
      <c r="F72" s="6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40"/>
      <c r="B73" s="41"/>
      <c r="C73" s="20"/>
      <c r="D73" s="41"/>
      <c r="E73" s="20"/>
      <c r="F73" s="6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40"/>
      <c r="B74" s="41"/>
      <c r="C74" s="20"/>
      <c r="D74" s="41"/>
      <c r="E74" s="20"/>
      <c r="F74" s="6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0"/>
      <c r="B75" s="41"/>
      <c r="C75" s="20"/>
      <c r="D75" s="41"/>
      <c r="E75" s="20"/>
      <c r="F75" s="6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0"/>
      <c r="B76" s="41"/>
      <c r="C76" s="20"/>
      <c r="D76" s="41"/>
      <c r="E76" s="20"/>
      <c r="F76" s="6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0"/>
      <c r="B77" s="41"/>
      <c r="C77" s="20"/>
      <c r="D77" s="41"/>
      <c r="E77" s="20"/>
      <c r="F77" s="6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0"/>
      <c r="B78" s="41"/>
      <c r="C78" s="20"/>
      <c r="D78" s="41"/>
      <c r="E78" s="20"/>
      <c r="F78" s="6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0"/>
      <c r="B79" s="41"/>
      <c r="C79" s="20"/>
      <c r="D79" s="41"/>
      <c r="E79" s="20"/>
      <c r="F79" s="6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40"/>
      <c r="B80" s="41"/>
      <c r="C80" s="20"/>
      <c r="D80" s="41"/>
      <c r="E80" s="20"/>
      <c r="F80" s="6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0"/>
      <c r="B81" s="41"/>
      <c r="C81" s="20"/>
      <c r="D81" s="41"/>
      <c r="E81" s="20"/>
      <c r="F81" s="6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40"/>
      <c r="B82" s="41"/>
      <c r="C82" s="20"/>
      <c r="D82" s="41"/>
      <c r="E82" s="20"/>
      <c r="F82" s="6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40"/>
      <c r="B83" s="41"/>
      <c r="C83" s="20"/>
      <c r="D83" s="41"/>
      <c r="E83" s="20"/>
      <c r="F83" s="6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40"/>
      <c r="B84" s="41"/>
      <c r="C84" s="20"/>
      <c r="D84" s="41"/>
      <c r="E84" s="20"/>
      <c r="F84" s="6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40"/>
      <c r="B85" s="41"/>
      <c r="C85" s="20"/>
      <c r="D85" s="41"/>
      <c r="E85" s="20"/>
      <c r="F85" s="6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40"/>
      <c r="B86" s="41"/>
      <c r="C86" s="20"/>
      <c r="D86" s="41"/>
      <c r="E86" s="20"/>
      <c r="F86" s="6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0"/>
      <c r="B87" s="41"/>
      <c r="C87" s="20"/>
      <c r="D87" s="66"/>
      <c r="E87" s="20"/>
      <c r="F87" s="6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0"/>
      <c r="B88" s="41"/>
      <c r="C88" s="20"/>
      <c r="D88" s="41"/>
      <c r="E88" s="20"/>
      <c r="F88" s="6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0"/>
      <c r="B89" s="41"/>
      <c r="C89" s="20"/>
      <c r="D89" s="41"/>
      <c r="E89" s="20"/>
      <c r="F89" s="6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0"/>
      <c r="B90" s="41"/>
      <c r="C90" s="20"/>
      <c r="D90" s="41"/>
      <c r="E90" s="20"/>
      <c r="F90" s="6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0"/>
      <c r="B91" s="41"/>
      <c r="C91" s="20"/>
      <c r="D91" s="41"/>
      <c r="E91" s="20"/>
      <c r="F91" s="6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40"/>
      <c r="B92" s="41"/>
      <c r="C92" s="20"/>
      <c r="D92" s="41"/>
      <c r="E92" s="20"/>
      <c r="F92" s="6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0"/>
      <c r="B93" s="41"/>
      <c r="C93" s="20"/>
      <c r="D93" s="41"/>
      <c r="E93" s="20"/>
      <c r="F93" s="6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40"/>
      <c r="B94" s="41"/>
      <c r="C94" s="20"/>
      <c r="D94" s="41"/>
      <c r="E94" s="20"/>
      <c r="F94" s="6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0"/>
      <c r="B95" s="41"/>
      <c r="C95" s="20"/>
      <c r="D95" s="41"/>
      <c r="E95" s="20"/>
      <c r="F95" s="6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40"/>
      <c r="B96" s="41"/>
      <c r="C96" s="20"/>
      <c r="D96" s="41"/>
      <c r="E96" s="20"/>
      <c r="F96" s="6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40"/>
      <c r="B97" s="41"/>
      <c r="C97" s="20"/>
      <c r="D97" s="41"/>
      <c r="E97" s="20"/>
      <c r="F97" s="6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40"/>
      <c r="B98" s="41"/>
      <c r="C98" s="20"/>
      <c r="D98" s="41"/>
      <c r="E98" s="20"/>
      <c r="F98" s="6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0"/>
      <c r="B99" s="41"/>
      <c r="C99" s="20"/>
      <c r="D99" s="41"/>
      <c r="E99" s="20"/>
      <c r="F99" s="6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40"/>
      <c r="B100" s="41"/>
      <c r="C100" s="20"/>
      <c r="D100" s="41"/>
      <c r="E100" s="20"/>
      <c r="F100" s="6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40"/>
      <c r="B101" s="41"/>
      <c r="C101" s="20"/>
      <c r="D101" s="41"/>
      <c r="E101" s="20"/>
      <c r="F101" s="6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40"/>
      <c r="B102" s="41"/>
      <c r="C102" s="20"/>
      <c r="D102" s="41"/>
      <c r="E102" s="20"/>
      <c r="F102" s="6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0"/>
      <c r="B103" s="41"/>
      <c r="C103" s="20"/>
      <c r="D103" s="41"/>
      <c r="E103" s="20"/>
      <c r="F103" s="6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40"/>
      <c r="B104" s="41"/>
      <c r="C104" s="20"/>
      <c r="D104" s="41"/>
      <c r="E104" s="20"/>
      <c r="F104" s="6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0"/>
      <c r="B105" s="41"/>
      <c r="C105" s="20"/>
      <c r="D105" s="41"/>
      <c r="E105" s="20"/>
      <c r="F105" s="6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40"/>
      <c r="B106" s="41"/>
      <c r="C106" s="20"/>
      <c r="D106" s="41"/>
      <c r="E106" s="20"/>
      <c r="F106" s="6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0"/>
      <c r="B107" s="41"/>
      <c r="C107" s="20"/>
      <c r="D107" s="41"/>
      <c r="E107" s="20"/>
      <c r="F107" s="6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40"/>
      <c r="B108" s="41"/>
      <c r="C108" s="20"/>
      <c r="D108" s="41"/>
      <c r="E108" s="20"/>
      <c r="F108" s="6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40"/>
      <c r="B109" s="41"/>
      <c r="C109" s="20"/>
      <c r="D109" s="41"/>
      <c r="E109" s="20"/>
      <c r="F109" s="6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40"/>
      <c r="B110" s="41"/>
      <c r="C110" s="20"/>
      <c r="D110" s="41"/>
      <c r="E110" s="20"/>
      <c r="F110" s="6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0"/>
      <c r="B111" s="41"/>
      <c r="C111" s="20"/>
      <c r="D111" s="41"/>
      <c r="E111" s="20"/>
      <c r="F111" s="6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0"/>
      <c r="B112" s="41"/>
      <c r="C112" s="20"/>
      <c r="D112" s="41"/>
      <c r="E112" s="20"/>
      <c r="F112" s="6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0"/>
      <c r="B113" s="41"/>
      <c r="C113" s="20"/>
      <c r="D113" s="41"/>
      <c r="E113" s="20"/>
      <c r="F113" s="6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0"/>
      <c r="B114" s="41"/>
      <c r="C114" s="20"/>
      <c r="D114" s="41"/>
      <c r="E114" s="20"/>
      <c r="F114" s="6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0"/>
      <c r="B115" s="41"/>
      <c r="C115" s="20"/>
      <c r="D115" s="41"/>
      <c r="E115" s="20"/>
      <c r="F115" s="6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40"/>
      <c r="B116" s="41"/>
      <c r="C116" s="20"/>
      <c r="D116" s="41"/>
      <c r="E116" s="20"/>
      <c r="F116" s="6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0"/>
      <c r="B117" s="41"/>
      <c r="C117" s="20"/>
      <c r="D117" s="41"/>
      <c r="E117" s="20"/>
      <c r="F117" s="6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40"/>
      <c r="B118" s="41"/>
      <c r="C118" s="20"/>
      <c r="D118" s="41"/>
      <c r="E118" s="20"/>
      <c r="F118" s="6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40"/>
      <c r="B119" s="41"/>
      <c r="C119" s="20"/>
      <c r="D119" s="41"/>
      <c r="E119" s="20"/>
      <c r="F119" s="6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40"/>
      <c r="B120" s="41"/>
      <c r="C120" s="20"/>
      <c r="D120" s="41"/>
      <c r="E120" s="20"/>
      <c r="F120" s="6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40"/>
      <c r="B121" s="41"/>
      <c r="C121" s="20"/>
      <c r="D121" s="41"/>
      <c r="E121" s="20"/>
      <c r="F121" s="6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0"/>
      <c r="B122" s="41"/>
      <c r="C122" s="20"/>
      <c r="D122" s="41"/>
      <c r="E122" s="20"/>
      <c r="F122" s="6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20"/>
      <c r="B123" s="41"/>
      <c r="C123" s="20"/>
      <c r="D123" s="41"/>
      <c r="E123" s="20"/>
      <c r="F123" s="6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20"/>
      <c r="B124" s="41"/>
      <c r="C124" s="20"/>
      <c r="D124" s="41"/>
      <c r="E124" s="20"/>
      <c r="F124" s="6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20"/>
      <c r="B125" s="41"/>
      <c r="C125" s="20"/>
      <c r="D125" s="41"/>
      <c r="E125" s="20"/>
      <c r="F125" s="6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20"/>
      <c r="B126" s="41"/>
      <c r="C126" s="20"/>
      <c r="D126" s="41"/>
      <c r="E126" s="20"/>
      <c r="F126" s="6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20"/>
      <c r="B127" s="41"/>
      <c r="C127" s="20"/>
      <c r="D127" s="41"/>
      <c r="E127" s="20"/>
      <c r="F127" s="6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20"/>
      <c r="B128" s="41"/>
      <c r="C128" s="20"/>
      <c r="D128" s="41"/>
      <c r="E128" s="20"/>
      <c r="F128" s="6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20"/>
      <c r="B129" s="41"/>
      <c r="C129" s="20"/>
      <c r="D129" s="41"/>
      <c r="E129" s="20"/>
      <c r="F129" s="6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20"/>
      <c r="B130" s="41"/>
      <c r="C130" s="20"/>
      <c r="D130" s="41"/>
      <c r="E130" s="20"/>
      <c r="F130" s="6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20"/>
      <c r="B131" s="41"/>
      <c r="C131" s="20"/>
      <c r="D131" s="41"/>
      <c r="E131" s="20"/>
      <c r="F131" s="41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20"/>
      <c r="B132" s="41"/>
      <c r="C132" s="20"/>
      <c r="D132" s="41"/>
      <c r="E132" s="20"/>
      <c r="F132" s="41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20"/>
      <c r="B133" s="41"/>
      <c r="C133" s="20"/>
      <c r="D133" s="41"/>
      <c r="E133" s="20"/>
      <c r="F133" s="41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20"/>
      <c r="B134" s="41"/>
      <c r="C134" s="20"/>
      <c r="D134" s="41"/>
      <c r="E134" s="20"/>
      <c r="F134" s="41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20"/>
      <c r="B135" s="41"/>
      <c r="C135" s="20"/>
      <c r="D135" s="41"/>
      <c r="E135" s="20"/>
      <c r="F135" s="41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20"/>
      <c r="B136" s="41"/>
      <c r="C136" s="20"/>
      <c r="D136" s="41"/>
      <c r="E136" s="20"/>
      <c r="F136" s="41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40"/>
      <c r="B137" s="41"/>
      <c r="C137" s="20"/>
      <c r="D137" s="41"/>
      <c r="E137" s="20"/>
      <c r="F137" s="41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40"/>
      <c r="B138" s="41"/>
      <c r="C138" s="20"/>
      <c r="D138" s="41"/>
      <c r="E138" s="20"/>
      <c r="F138" s="41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40"/>
      <c r="B139" s="41"/>
      <c r="C139" s="20"/>
      <c r="D139" s="41"/>
      <c r="E139" s="20"/>
      <c r="F139" s="41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40"/>
      <c r="B140" s="41"/>
      <c r="C140" s="20"/>
      <c r="D140" s="41"/>
      <c r="E140" s="20"/>
      <c r="F140" s="41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40"/>
      <c r="B141" s="41"/>
      <c r="C141" s="20"/>
      <c r="D141" s="41"/>
      <c r="E141" s="20"/>
      <c r="F141" s="41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40"/>
      <c r="B142" s="41"/>
      <c r="C142" s="20"/>
      <c r="D142" s="41"/>
      <c r="E142" s="20"/>
      <c r="F142" s="41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40"/>
      <c r="B143" s="41"/>
      <c r="C143" s="20"/>
      <c r="D143" s="41"/>
      <c r="E143" s="20"/>
      <c r="F143" s="41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40"/>
      <c r="B144" s="41"/>
      <c r="C144" s="20"/>
      <c r="D144" s="41"/>
      <c r="E144" s="20"/>
      <c r="F144" s="41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40"/>
      <c r="B145" s="41"/>
      <c r="C145" s="20"/>
      <c r="D145" s="41"/>
      <c r="E145" s="20"/>
      <c r="F145" s="41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40"/>
      <c r="B146" s="41"/>
      <c r="C146" s="20"/>
      <c r="D146" s="41"/>
      <c r="E146" s="20"/>
      <c r="F146" s="41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40"/>
      <c r="B147" s="41"/>
      <c r="C147" s="20"/>
      <c r="D147" s="41"/>
      <c r="E147" s="20"/>
      <c r="F147" s="41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40"/>
      <c r="B148" s="41"/>
      <c r="C148" s="20"/>
      <c r="D148" s="41"/>
      <c r="E148" s="20"/>
      <c r="F148" s="41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40"/>
      <c r="B149" s="41"/>
      <c r="C149" s="20"/>
      <c r="D149" s="41"/>
      <c r="E149" s="20"/>
      <c r="F149" s="41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40"/>
      <c r="B150" s="41"/>
      <c r="C150" s="20"/>
      <c r="D150" s="41"/>
      <c r="E150" s="20"/>
      <c r="F150" s="41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40"/>
      <c r="B151" s="41"/>
      <c r="C151" s="20"/>
      <c r="D151" s="41"/>
      <c r="E151" s="20"/>
      <c r="F151" s="41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40"/>
      <c r="B152" s="41"/>
      <c r="C152" s="20"/>
      <c r="D152" s="41"/>
      <c r="E152" s="20"/>
      <c r="F152" s="41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40"/>
      <c r="B153" s="41"/>
      <c r="C153" s="20"/>
      <c r="D153" s="41"/>
      <c r="E153" s="20"/>
      <c r="F153" s="41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40"/>
      <c r="B154" s="41"/>
      <c r="C154" s="20"/>
      <c r="D154" s="41"/>
      <c r="E154" s="20"/>
      <c r="F154" s="41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40"/>
      <c r="B155" s="41"/>
      <c r="C155" s="20"/>
      <c r="D155" s="41"/>
      <c r="E155" s="20"/>
      <c r="F155" s="41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40"/>
      <c r="B156" s="41"/>
      <c r="C156" s="20"/>
      <c r="D156" s="41"/>
      <c r="E156" s="20"/>
      <c r="F156" s="41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40"/>
      <c r="B157" s="41"/>
      <c r="C157" s="20"/>
      <c r="D157" s="41"/>
      <c r="E157" s="20"/>
      <c r="F157" s="41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40"/>
      <c r="B158" s="41"/>
      <c r="C158" s="20"/>
      <c r="D158" s="41"/>
      <c r="E158" s="20"/>
      <c r="F158" s="41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40"/>
      <c r="B159" s="41"/>
      <c r="C159" s="20"/>
      <c r="D159" s="41"/>
      <c r="E159" s="20"/>
      <c r="F159" s="41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40"/>
      <c r="B160" s="41"/>
      <c r="C160" s="20"/>
      <c r="D160" s="41"/>
      <c r="E160" s="20"/>
      <c r="F160" s="41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40"/>
      <c r="B161" s="41"/>
      <c r="C161" s="20"/>
      <c r="D161" s="41"/>
      <c r="E161" s="20"/>
      <c r="F161" s="41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40"/>
      <c r="B162" s="41"/>
      <c r="C162" s="20"/>
      <c r="D162" s="41"/>
      <c r="E162" s="20"/>
      <c r="F162" s="41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40"/>
      <c r="B163" s="41"/>
      <c r="C163" s="20"/>
      <c r="D163" s="41"/>
      <c r="E163" s="20"/>
      <c r="F163" s="41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40"/>
      <c r="B164" s="41"/>
      <c r="C164" s="20"/>
      <c r="D164" s="41"/>
      <c r="E164" s="20"/>
      <c r="F164" s="41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40"/>
      <c r="B165" s="41"/>
      <c r="C165" s="20"/>
      <c r="D165" s="41"/>
      <c r="E165" s="20"/>
      <c r="F165" s="41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40"/>
      <c r="B166" s="41"/>
      <c r="C166" s="20"/>
      <c r="D166" s="41"/>
      <c r="E166" s="20"/>
      <c r="F166" s="41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40"/>
      <c r="B167" s="41"/>
      <c r="C167" s="20"/>
      <c r="D167" s="41"/>
      <c r="E167" s="20"/>
      <c r="F167" s="41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40"/>
      <c r="B168" s="41"/>
      <c r="C168" s="20"/>
      <c r="D168" s="41"/>
      <c r="E168" s="20"/>
      <c r="F168" s="41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40"/>
      <c r="B169" s="41"/>
      <c r="C169" s="20"/>
      <c r="D169" s="41"/>
      <c r="E169" s="20"/>
      <c r="F169" s="41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40"/>
      <c r="B170" s="41"/>
      <c r="C170" s="20"/>
      <c r="D170" s="41"/>
      <c r="E170" s="20"/>
      <c r="F170" s="41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40"/>
      <c r="B171" s="41"/>
      <c r="C171" s="20"/>
      <c r="D171" s="41"/>
      <c r="E171" s="20"/>
      <c r="F171" s="41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40"/>
      <c r="B172" s="41"/>
      <c r="C172" s="20"/>
      <c r="D172" s="41"/>
      <c r="E172" s="20"/>
      <c r="F172" s="41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40"/>
      <c r="B173" s="41"/>
      <c r="C173" s="20"/>
      <c r="D173" s="41"/>
      <c r="E173" s="20"/>
      <c r="F173" s="41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40"/>
      <c r="B174" s="41"/>
      <c r="C174" s="20"/>
      <c r="D174" s="41"/>
      <c r="E174" s="20"/>
      <c r="F174" s="41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40"/>
      <c r="B175" s="41"/>
      <c r="C175" s="20"/>
      <c r="D175" s="41"/>
      <c r="E175" s="20"/>
      <c r="F175" s="41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40"/>
      <c r="B176" s="41"/>
      <c r="C176" s="20"/>
      <c r="D176" s="41"/>
      <c r="E176" s="20"/>
      <c r="F176" s="41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40"/>
      <c r="B177" s="41"/>
      <c r="C177" s="20"/>
      <c r="D177" s="41"/>
      <c r="E177" s="20"/>
      <c r="F177" s="41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40"/>
      <c r="B178" s="41"/>
      <c r="C178" s="20"/>
      <c r="D178" s="41"/>
      <c r="E178" s="20"/>
      <c r="F178" s="41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40"/>
      <c r="B179" s="41"/>
      <c r="C179" s="20"/>
      <c r="D179" s="41"/>
      <c r="E179" s="20"/>
      <c r="F179" s="41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40"/>
      <c r="B180" s="41"/>
      <c r="C180" s="20"/>
      <c r="D180" s="41"/>
      <c r="E180" s="20"/>
      <c r="F180" s="41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40"/>
      <c r="B181" s="41"/>
      <c r="C181" s="20"/>
      <c r="D181" s="41"/>
      <c r="E181" s="20"/>
      <c r="F181" s="41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40"/>
      <c r="B182" s="41"/>
      <c r="C182" s="20"/>
      <c r="D182" s="41"/>
      <c r="E182" s="20"/>
      <c r="F182" s="41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40"/>
      <c r="B183" s="41"/>
      <c r="C183" s="20"/>
      <c r="D183" s="41"/>
      <c r="E183" s="20"/>
      <c r="F183" s="41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40"/>
      <c r="B184" s="41"/>
      <c r="C184" s="20"/>
      <c r="D184" s="41"/>
      <c r="E184" s="20"/>
      <c r="F184" s="41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40"/>
      <c r="B185" s="41"/>
      <c r="C185" s="20"/>
      <c r="D185" s="41"/>
      <c r="E185" s="20"/>
      <c r="F185" s="41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40"/>
      <c r="B186" s="41"/>
      <c r="C186" s="20"/>
      <c r="D186" s="41"/>
      <c r="E186" s="20"/>
      <c r="F186" s="41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40"/>
      <c r="B187" s="41"/>
      <c r="C187" s="20"/>
      <c r="D187" s="41"/>
      <c r="E187" s="20"/>
      <c r="F187" s="41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40"/>
      <c r="B188" s="41"/>
      <c r="C188" s="20"/>
      <c r="D188" s="41"/>
      <c r="E188" s="20"/>
      <c r="F188" s="41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40"/>
      <c r="B189" s="41"/>
      <c r="C189" s="20"/>
      <c r="D189" s="41"/>
      <c r="E189" s="20"/>
      <c r="F189" s="41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40"/>
      <c r="B190" s="41"/>
      <c r="C190" s="20"/>
      <c r="D190" s="41"/>
      <c r="E190" s="20"/>
      <c r="F190" s="41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40"/>
      <c r="B191" s="41"/>
      <c r="C191" s="20"/>
      <c r="D191" s="41"/>
      <c r="E191" s="20"/>
      <c r="F191" s="41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40"/>
      <c r="B192" s="41"/>
      <c r="C192" s="20"/>
      <c r="D192" s="41"/>
      <c r="E192" s="20"/>
      <c r="F192" s="41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40"/>
      <c r="B193" s="41"/>
      <c r="C193" s="20"/>
      <c r="D193" s="41"/>
      <c r="E193" s="20"/>
      <c r="F193" s="41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40"/>
      <c r="B194" s="41"/>
      <c r="C194" s="20"/>
      <c r="D194" s="41"/>
      <c r="E194" s="20"/>
      <c r="F194" s="41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40"/>
      <c r="B195" s="41"/>
      <c r="C195" s="20"/>
      <c r="D195" s="41"/>
      <c r="E195" s="20"/>
      <c r="F195" s="41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40"/>
      <c r="B196" s="41"/>
      <c r="C196" s="20"/>
      <c r="D196" s="41"/>
      <c r="E196" s="20"/>
      <c r="F196" s="41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40"/>
      <c r="B197" s="41"/>
      <c r="C197" s="20"/>
      <c r="D197" s="41"/>
      <c r="E197" s="20"/>
      <c r="F197" s="41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40"/>
      <c r="B198" s="41"/>
      <c r="C198" s="20"/>
      <c r="D198" s="41"/>
      <c r="E198" s="20"/>
      <c r="F198" s="41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40"/>
      <c r="B199" s="41"/>
      <c r="C199" s="20"/>
      <c r="D199" s="41"/>
      <c r="E199" s="20"/>
      <c r="F199" s="41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40"/>
      <c r="B200" s="41"/>
      <c r="C200" s="20"/>
      <c r="D200" s="41"/>
      <c r="E200" s="20"/>
      <c r="F200" s="41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40"/>
      <c r="B201" s="41"/>
      <c r="C201" s="20"/>
      <c r="D201" s="41"/>
      <c r="E201" s="20"/>
      <c r="F201" s="41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40"/>
      <c r="B202" s="41"/>
      <c r="C202" s="20"/>
      <c r="D202" s="41"/>
      <c r="E202" s="20"/>
      <c r="F202" s="41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40"/>
      <c r="B203" s="41"/>
      <c r="C203" s="20"/>
      <c r="D203" s="41"/>
      <c r="E203" s="20"/>
      <c r="F203" s="41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40"/>
      <c r="B204" s="41"/>
      <c r="C204" s="20"/>
      <c r="D204" s="41"/>
      <c r="E204" s="20"/>
      <c r="F204" s="41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40"/>
      <c r="B205" s="41"/>
      <c r="C205" s="20"/>
      <c r="D205" s="41"/>
      <c r="E205" s="20"/>
      <c r="F205" s="41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40"/>
      <c r="B206" s="41"/>
      <c r="C206" s="20"/>
      <c r="D206" s="41"/>
      <c r="E206" s="20"/>
      <c r="F206" s="41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40"/>
      <c r="B207" s="41"/>
      <c r="C207" s="20"/>
      <c r="D207" s="41"/>
      <c r="E207" s="20"/>
      <c r="F207" s="41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40"/>
      <c r="B208" s="41"/>
      <c r="C208" s="20"/>
      <c r="D208" s="41"/>
      <c r="E208" s="20"/>
      <c r="F208" s="41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40"/>
      <c r="B209" s="41"/>
      <c r="C209" s="20"/>
      <c r="D209" s="41"/>
      <c r="E209" s="20"/>
      <c r="F209" s="41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40"/>
      <c r="B210" s="41"/>
      <c r="C210" s="20"/>
      <c r="D210" s="41"/>
      <c r="E210" s="20"/>
      <c r="F210" s="41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40"/>
      <c r="B211" s="41"/>
      <c r="C211" s="20"/>
      <c r="D211" s="41"/>
      <c r="E211" s="20"/>
      <c r="F211" s="41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40"/>
      <c r="B212" s="41"/>
      <c r="C212" s="20"/>
      <c r="D212" s="41"/>
      <c r="E212" s="20"/>
      <c r="F212" s="41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40"/>
      <c r="B213" s="41"/>
      <c r="C213" s="20"/>
      <c r="D213" s="41"/>
      <c r="E213" s="20"/>
      <c r="F213" s="41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40"/>
      <c r="B214" s="41"/>
      <c r="C214" s="20"/>
      <c r="D214" s="41"/>
      <c r="E214" s="20"/>
      <c r="F214" s="41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40"/>
      <c r="B215" s="41"/>
      <c r="C215" s="20"/>
      <c r="D215" s="41"/>
      <c r="E215" s="20"/>
      <c r="F215" s="41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40"/>
      <c r="B216" s="41"/>
      <c r="C216" s="20"/>
      <c r="D216" s="41"/>
      <c r="E216" s="20"/>
      <c r="F216" s="41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40"/>
      <c r="B217" s="41"/>
      <c r="C217" s="20"/>
      <c r="D217" s="41"/>
      <c r="E217" s="20"/>
      <c r="F217" s="41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40"/>
      <c r="B218" s="41"/>
      <c r="C218" s="20"/>
      <c r="D218" s="41"/>
      <c r="E218" s="20"/>
      <c r="F218" s="41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40"/>
      <c r="B219" s="41"/>
      <c r="C219" s="20"/>
      <c r="D219" s="41"/>
      <c r="E219" s="20"/>
      <c r="F219" s="41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40"/>
      <c r="B220" s="41"/>
      <c r="C220" s="20"/>
      <c r="D220" s="41"/>
      <c r="E220" s="20"/>
      <c r="F220" s="41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40"/>
      <c r="B221" s="41"/>
      <c r="C221" s="20"/>
      <c r="D221" s="41"/>
      <c r="E221" s="20"/>
      <c r="F221" s="41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40"/>
      <c r="B222" s="41"/>
      <c r="C222" s="20"/>
      <c r="D222" s="41"/>
      <c r="E222" s="20"/>
      <c r="F222" s="41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40"/>
      <c r="B223" s="41"/>
      <c r="C223" s="20"/>
      <c r="D223" s="41"/>
      <c r="E223" s="20"/>
      <c r="F223" s="41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40"/>
      <c r="B224" s="41"/>
      <c r="C224" s="20"/>
      <c r="D224" s="41"/>
      <c r="E224" s="20"/>
      <c r="F224" s="41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40"/>
      <c r="B225" s="41"/>
      <c r="C225" s="20"/>
      <c r="D225" s="41"/>
      <c r="E225" s="20"/>
      <c r="F225" s="41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40"/>
      <c r="B226" s="41"/>
      <c r="C226" s="20"/>
      <c r="D226" s="41"/>
      <c r="E226" s="20"/>
      <c r="F226" s="41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40"/>
      <c r="B227" s="41"/>
      <c r="C227" s="20"/>
      <c r="D227" s="41"/>
      <c r="E227" s="20"/>
      <c r="F227" s="41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40"/>
      <c r="B228" s="41"/>
      <c r="C228" s="20"/>
      <c r="D228" s="41"/>
      <c r="E228" s="20"/>
      <c r="F228" s="41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40"/>
      <c r="B229" s="41"/>
      <c r="C229" s="20"/>
      <c r="D229" s="41"/>
      <c r="E229" s="20"/>
      <c r="F229" s="41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40"/>
      <c r="B230" s="41"/>
      <c r="C230" s="20"/>
      <c r="D230" s="41"/>
      <c r="E230" s="20"/>
      <c r="F230" s="41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40"/>
      <c r="B231" s="41"/>
      <c r="C231" s="20"/>
      <c r="D231" s="41"/>
      <c r="E231" s="20"/>
      <c r="F231" s="41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40"/>
      <c r="B232" s="41"/>
      <c r="C232" s="20"/>
      <c r="D232" s="41"/>
      <c r="E232" s="20"/>
      <c r="F232" s="41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40"/>
      <c r="B233" s="41"/>
      <c r="C233" s="20"/>
      <c r="D233" s="41"/>
      <c r="E233" s="20"/>
      <c r="F233" s="41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40"/>
      <c r="B234" s="41"/>
      <c r="C234" s="20"/>
      <c r="D234" s="41"/>
      <c r="E234" s="20"/>
      <c r="F234" s="41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40"/>
      <c r="B235" s="41"/>
      <c r="C235" s="20"/>
      <c r="D235" s="41"/>
      <c r="E235" s="20"/>
      <c r="F235" s="41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40"/>
      <c r="B236" s="41"/>
      <c r="C236" s="20"/>
      <c r="D236" s="41"/>
      <c r="E236" s="20"/>
      <c r="F236" s="41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40"/>
      <c r="B237" s="41"/>
      <c r="C237" s="20"/>
      <c r="D237" s="41"/>
      <c r="E237" s="20"/>
      <c r="F237" s="41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40"/>
      <c r="B238" s="41"/>
      <c r="C238" s="20"/>
      <c r="D238" s="41"/>
      <c r="E238" s="20"/>
      <c r="F238" s="41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40"/>
      <c r="B239" s="41"/>
      <c r="C239" s="20"/>
      <c r="D239" s="41"/>
      <c r="E239" s="20"/>
      <c r="F239" s="41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40"/>
      <c r="B240" s="41"/>
      <c r="C240" s="20"/>
      <c r="D240" s="41"/>
      <c r="E240" s="20"/>
      <c r="F240" s="41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40"/>
      <c r="B241" s="41"/>
      <c r="C241" s="20"/>
      <c r="D241" s="41"/>
      <c r="E241" s="20"/>
      <c r="F241" s="41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40"/>
      <c r="B242" s="41"/>
      <c r="C242" s="20"/>
      <c r="D242" s="41"/>
      <c r="E242" s="20"/>
      <c r="F242" s="41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40"/>
      <c r="B243" s="41"/>
      <c r="C243" s="20"/>
      <c r="D243" s="41"/>
      <c r="E243" s="20"/>
      <c r="F243" s="41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40"/>
      <c r="B244" s="41"/>
      <c r="C244" s="20"/>
      <c r="D244" s="41"/>
      <c r="E244" s="20"/>
      <c r="F244" s="41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40"/>
      <c r="B245" s="41"/>
      <c r="C245" s="20"/>
      <c r="D245" s="41"/>
      <c r="E245" s="20"/>
      <c r="F245" s="41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40"/>
      <c r="B246" s="41"/>
      <c r="C246" s="20"/>
      <c r="D246" s="41"/>
      <c r="E246" s="20"/>
      <c r="F246" s="41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40"/>
      <c r="B247" s="41"/>
      <c r="C247" s="20"/>
      <c r="D247" s="41"/>
      <c r="E247" s="20"/>
      <c r="F247" s="41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40"/>
      <c r="B248" s="41"/>
      <c r="C248" s="20"/>
      <c r="D248" s="41"/>
      <c r="E248" s="20"/>
      <c r="F248" s="41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40"/>
      <c r="B249" s="41"/>
      <c r="C249" s="20"/>
      <c r="D249" s="41"/>
      <c r="E249" s="20"/>
      <c r="F249" s="41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40"/>
      <c r="B250" s="41"/>
      <c r="C250" s="20"/>
      <c r="D250" s="41"/>
      <c r="E250" s="20"/>
      <c r="F250" s="41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40"/>
      <c r="B251" s="41"/>
      <c r="C251" s="20"/>
      <c r="D251" s="41"/>
      <c r="E251" s="20"/>
      <c r="F251" s="41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40"/>
      <c r="B252" s="41"/>
      <c r="C252" s="20"/>
      <c r="D252" s="41"/>
      <c r="E252" s="20"/>
      <c r="F252" s="41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40"/>
      <c r="B253" s="41"/>
      <c r="C253" s="20"/>
      <c r="D253" s="41"/>
      <c r="E253" s="20"/>
      <c r="F253" s="41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40"/>
      <c r="B254" s="41"/>
      <c r="C254" s="20"/>
      <c r="D254" s="41"/>
      <c r="E254" s="20"/>
      <c r="F254" s="41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40"/>
      <c r="B255" s="41"/>
      <c r="C255" s="20"/>
      <c r="D255" s="41"/>
      <c r="E255" s="20"/>
      <c r="F255" s="41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40"/>
      <c r="B256" s="41"/>
      <c r="C256" s="20"/>
      <c r="D256" s="41"/>
      <c r="E256" s="20"/>
      <c r="F256" s="41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40"/>
      <c r="B257" s="41"/>
      <c r="C257" s="20"/>
      <c r="D257" s="41"/>
      <c r="E257" s="20"/>
      <c r="F257" s="41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40"/>
      <c r="B258" s="41"/>
      <c r="C258" s="20"/>
      <c r="D258" s="41"/>
      <c r="E258" s="20"/>
      <c r="F258" s="41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40"/>
      <c r="B259" s="41"/>
      <c r="C259" s="20"/>
      <c r="D259" s="41"/>
      <c r="E259" s="20"/>
      <c r="F259" s="41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40"/>
      <c r="B260" s="41"/>
      <c r="C260" s="20"/>
      <c r="D260" s="41"/>
      <c r="E260" s="20"/>
      <c r="F260" s="41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40"/>
      <c r="B261" s="41"/>
      <c r="C261" s="20"/>
      <c r="D261" s="41"/>
      <c r="E261" s="20"/>
      <c r="F261" s="41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40"/>
      <c r="B262" s="41"/>
      <c r="C262" s="20"/>
      <c r="D262" s="41"/>
      <c r="E262" s="20"/>
      <c r="F262" s="41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40"/>
      <c r="B263" s="41"/>
      <c r="C263" s="20"/>
      <c r="D263" s="41"/>
      <c r="E263" s="20"/>
      <c r="F263" s="41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40"/>
      <c r="B264" s="41"/>
      <c r="C264" s="20"/>
      <c r="D264" s="41"/>
      <c r="E264" s="20"/>
      <c r="F264" s="41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40"/>
      <c r="B265" s="41"/>
      <c r="C265" s="20"/>
      <c r="D265" s="41"/>
      <c r="E265" s="20"/>
      <c r="F265" s="41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40"/>
      <c r="B266" s="41"/>
      <c r="C266" s="20"/>
      <c r="D266" s="41"/>
      <c r="E266" s="20"/>
      <c r="F266" s="41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40"/>
      <c r="B267" s="41"/>
      <c r="C267" s="20"/>
      <c r="D267" s="41"/>
      <c r="E267" s="20"/>
      <c r="F267" s="41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40"/>
      <c r="B268" s="41"/>
      <c r="C268" s="20"/>
      <c r="D268" s="41"/>
      <c r="E268" s="20"/>
      <c r="F268" s="41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40"/>
      <c r="B269" s="41"/>
      <c r="C269" s="20"/>
      <c r="D269" s="41"/>
      <c r="E269" s="20"/>
      <c r="F269" s="41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40"/>
      <c r="B270" s="41"/>
      <c r="C270" s="20"/>
      <c r="D270" s="41"/>
      <c r="E270" s="20"/>
      <c r="F270" s="41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40"/>
      <c r="B271" s="41"/>
      <c r="C271" s="20"/>
      <c r="D271" s="41"/>
      <c r="E271" s="20"/>
      <c r="F271" s="41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40"/>
      <c r="B272" s="41"/>
      <c r="C272" s="20"/>
      <c r="D272" s="41"/>
      <c r="E272" s="20"/>
      <c r="F272" s="41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40"/>
      <c r="B273" s="41"/>
      <c r="C273" s="20"/>
      <c r="D273" s="41"/>
      <c r="E273" s="20"/>
      <c r="F273" s="41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40"/>
      <c r="B274" s="41"/>
      <c r="C274" s="20"/>
      <c r="D274" s="41"/>
      <c r="E274" s="20"/>
      <c r="F274" s="41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40"/>
      <c r="B275" s="41"/>
      <c r="C275" s="20"/>
      <c r="D275" s="41"/>
      <c r="E275" s="20"/>
      <c r="F275" s="41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40"/>
      <c r="B276" s="41"/>
      <c r="C276" s="20"/>
      <c r="D276" s="41"/>
      <c r="E276" s="20"/>
      <c r="F276" s="41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40"/>
      <c r="B277" s="41"/>
      <c r="C277" s="20"/>
      <c r="D277" s="41"/>
      <c r="E277" s="20"/>
      <c r="F277" s="41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40"/>
      <c r="B278" s="41"/>
      <c r="C278" s="20"/>
      <c r="D278" s="41"/>
      <c r="E278" s="20"/>
      <c r="F278" s="41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40"/>
      <c r="B279" s="41"/>
      <c r="C279" s="20"/>
      <c r="D279" s="41"/>
      <c r="E279" s="20"/>
      <c r="F279" s="41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40"/>
      <c r="B280" s="41"/>
      <c r="C280" s="20"/>
      <c r="D280" s="41"/>
      <c r="E280" s="20"/>
      <c r="F280" s="41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40"/>
      <c r="B281" s="41"/>
      <c r="C281" s="20"/>
      <c r="D281" s="41"/>
      <c r="E281" s="20"/>
      <c r="F281" s="41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40"/>
      <c r="B282" s="41"/>
      <c r="C282" s="20"/>
      <c r="D282" s="41"/>
      <c r="E282" s="20"/>
      <c r="F282" s="41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40"/>
      <c r="B283" s="41"/>
      <c r="C283" s="20"/>
      <c r="D283" s="41"/>
      <c r="E283" s="20"/>
      <c r="F283" s="41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40"/>
      <c r="B284" s="41"/>
      <c r="C284" s="20"/>
      <c r="D284" s="41"/>
      <c r="E284" s="20"/>
      <c r="F284" s="41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40"/>
      <c r="B285" s="41"/>
      <c r="C285" s="20"/>
      <c r="D285" s="41"/>
      <c r="E285" s="20"/>
      <c r="F285" s="41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40"/>
      <c r="B286" s="41"/>
      <c r="C286" s="20"/>
      <c r="D286" s="41"/>
      <c r="E286" s="20"/>
      <c r="F286" s="41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40"/>
      <c r="B287" s="41"/>
      <c r="C287" s="20"/>
      <c r="D287" s="41"/>
      <c r="E287" s="20"/>
      <c r="F287" s="41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40"/>
      <c r="B288" s="41"/>
      <c r="C288" s="20"/>
      <c r="D288" s="41"/>
      <c r="E288" s="20"/>
      <c r="F288" s="41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40"/>
      <c r="B289" s="41"/>
      <c r="C289" s="20"/>
      <c r="D289" s="41"/>
      <c r="E289" s="20"/>
      <c r="F289" s="41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40"/>
      <c r="B290" s="41"/>
      <c r="C290" s="20"/>
      <c r="D290" s="41"/>
      <c r="E290" s="20"/>
      <c r="F290" s="41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40"/>
      <c r="B291" s="41"/>
      <c r="C291" s="20"/>
      <c r="D291" s="41"/>
      <c r="E291" s="20"/>
      <c r="F291" s="41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40"/>
      <c r="B292" s="41"/>
      <c r="C292" s="20"/>
      <c r="D292" s="41"/>
      <c r="E292" s="20"/>
      <c r="F292" s="41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40"/>
      <c r="B293" s="41"/>
      <c r="C293" s="20"/>
      <c r="D293" s="41"/>
      <c r="E293" s="20"/>
      <c r="F293" s="41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40"/>
      <c r="B294" s="41"/>
      <c r="C294" s="20"/>
      <c r="D294" s="41"/>
      <c r="E294" s="20"/>
      <c r="F294" s="41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40"/>
      <c r="B295" s="41"/>
      <c r="C295" s="20"/>
      <c r="D295" s="41"/>
      <c r="E295" s="20"/>
      <c r="F295" s="41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40"/>
      <c r="B296" s="41"/>
      <c r="C296" s="20"/>
      <c r="D296" s="41"/>
      <c r="E296" s="20"/>
      <c r="F296" s="41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40"/>
      <c r="B297" s="41"/>
      <c r="C297" s="20"/>
      <c r="D297" s="41"/>
      <c r="E297" s="20"/>
      <c r="F297" s="41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40"/>
      <c r="B298" s="41"/>
      <c r="C298" s="20"/>
      <c r="D298" s="41"/>
      <c r="E298" s="20"/>
      <c r="F298" s="41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40"/>
      <c r="B299" s="41"/>
      <c r="C299" s="20"/>
      <c r="D299" s="41"/>
      <c r="E299" s="20"/>
      <c r="F299" s="41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40"/>
      <c r="B300" s="41"/>
      <c r="C300" s="20"/>
      <c r="D300" s="41"/>
      <c r="E300" s="20"/>
      <c r="F300" s="41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40"/>
      <c r="B301" s="41"/>
      <c r="C301" s="20"/>
      <c r="D301" s="41"/>
      <c r="E301" s="20"/>
      <c r="F301" s="41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40"/>
      <c r="B302" s="41"/>
      <c r="C302" s="20"/>
      <c r="D302" s="41"/>
      <c r="E302" s="20"/>
      <c r="F302" s="41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40"/>
      <c r="B303" s="41"/>
      <c r="C303" s="20"/>
      <c r="D303" s="41"/>
      <c r="E303" s="20"/>
      <c r="F303" s="41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40"/>
      <c r="B304" s="41"/>
      <c r="C304" s="20"/>
      <c r="D304" s="41"/>
      <c r="E304" s="20"/>
      <c r="F304" s="41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40"/>
      <c r="B305" s="41"/>
      <c r="C305" s="20"/>
      <c r="D305" s="41"/>
      <c r="E305" s="20"/>
      <c r="F305" s="41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40"/>
      <c r="B306" s="41"/>
      <c r="C306" s="20"/>
      <c r="D306" s="41"/>
      <c r="E306" s="20"/>
      <c r="F306" s="41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40"/>
      <c r="B307" s="41"/>
      <c r="C307" s="20"/>
      <c r="D307" s="41"/>
      <c r="E307" s="20"/>
      <c r="F307" s="41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40"/>
      <c r="B308" s="41"/>
      <c r="C308" s="20"/>
      <c r="D308" s="41"/>
      <c r="E308" s="20"/>
      <c r="F308" s="41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40"/>
      <c r="B309" s="41"/>
      <c r="C309" s="20"/>
      <c r="D309" s="41"/>
      <c r="E309" s="20"/>
      <c r="F309" s="41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40"/>
      <c r="B310" s="41"/>
      <c r="C310" s="20"/>
      <c r="D310" s="41"/>
      <c r="E310" s="20"/>
      <c r="F310" s="41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40"/>
      <c r="B311" s="41"/>
      <c r="C311" s="20"/>
      <c r="D311" s="41"/>
      <c r="E311" s="20"/>
      <c r="F311" s="41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40"/>
      <c r="B312" s="41"/>
      <c r="C312" s="20"/>
      <c r="D312" s="41"/>
      <c r="E312" s="20"/>
      <c r="F312" s="41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40"/>
      <c r="B313" s="41"/>
      <c r="C313" s="20"/>
      <c r="D313" s="41"/>
      <c r="E313" s="20"/>
      <c r="F313" s="41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40"/>
      <c r="B314" s="41"/>
      <c r="C314" s="20"/>
      <c r="D314" s="41"/>
      <c r="E314" s="20"/>
      <c r="F314" s="41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40"/>
      <c r="B315" s="41"/>
      <c r="C315" s="20"/>
      <c r="D315" s="41"/>
      <c r="E315" s="20"/>
      <c r="F315" s="41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40"/>
      <c r="B316" s="41"/>
      <c r="C316" s="20"/>
      <c r="D316" s="41"/>
      <c r="E316" s="20"/>
      <c r="F316" s="41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40"/>
      <c r="B317" s="41"/>
      <c r="C317" s="20"/>
      <c r="D317" s="41"/>
      <c r="E317" s="20"/>
      <c r="F317" s="41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40"/>
      <c r="B318" s="41"/>
      <c r="C318" s="20"/>
      <c r="D318" s="41"/>
      <c r="E318" s="20"/>
      <c r="F318" s="41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40"/>
      <c r="B319" s="41"/>
      <c r="C319" s="20"/>
      <c r="D319" s="41"/>
      <c r="E319" s="20"/>
      <c r="F319" s="41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40"/>
      <c r="B320" s="41"/>
      <c r="C320" s="20"/>
      <c r="D320" s="41"/>
      <c r="E320" s="20"/>
      <c r="F320" s="41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40"/>
      <c r="B321" s="41"/>
      <c r="C321" s="20"/>
      <c r="D321" s="41"/>
      <c r="E321" s="20"/>
      <c r="F321" s="41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40"/>
      <c r="B322" s="41"/>
      <c r="C322" s="20"/>
      <c r="D322" s="41"/>
      <c r="E322" s="20"/>
      <c r="F322" s="41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40"/>
      <c r="B323" s="41"/>
      <c r="C323" s="20"/>
      <c r="D323" s="41"/>
      <c r="E323" s="20"/>
      <c r="F323" s="41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40"/>
      <c r="B324" s="41"/>
      <c r="C324" s="20"/>
      <c r="D324" s="41"/>
      <c r="E324" s="20"/>
      <c r="F324" s="41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40"/>
      <c r="B325" s="41"/>
      <c r="C325" s="20"/>
      <c r="D325" s="41"/>
      <c r="E325" s="20"/>
      <c r="F325" s="41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40"/>
      <c r="B326" s="41"/>
      <c r="C326" s="20"/>
      <c r="D326" s="41"/>
      <c r="E326" s="20"/>
      <c r="F326" s="41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40"/>
      <c r="B327" s="41"/>
      <c r="C327" s="20"/>
      <c r="D327" s="41"/>
      <c r="E327" s="20"/>
      <c r="F327" s="41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40"/>
      <c r="B328" s="41"/>
      <c r="C328" s="20"/>
      <c r="D328" s="41"/>
      <c r="E328" s="20"/>
      <c r="F328" s="41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40"/>
      <c r="B329" s="41"/>
      <c r="C329" s="20"/>
      <c r="D329" s="41"/>
      <c r="E329" s="20"/>
      <c r="F329" s="41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40"/>
      <c r="B330" s="41"/>
      <c r="C330" s="20"/>
      <c r="D330" s="41"/>
      <c r="E330" s="20"/>
      <c r="F330" s="41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40"/>
      <c r="B331" s="41"/>
      <c r="C331" s="20"/>
      <c r="D331" s="41"/>
      <c r="E331" s="20"/>
      <c r="F331" s="41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40"/>
      <c r="B332" s="41"/>
      <c r="C332" s="20"/>
      <c r="D332" s="41"/>
      <c r="E332" s="20"/>
      <c r="F332" s="41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40"/>
      <c r="B333" s="41"/>
      <c r="C333" s="20"/>
      <c r="D333" s="41"/>
      <c r="E333" s="20"/>
      <c r="F333" s="41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40"/>
      <c r="B334" s="41"/>
      <c r="C334" s="20"/>
      <c r="D334" s="41"/>
      <c r="E334" s="20"/>
      <c r="F334" s="41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40"/>
      <c r="B335" s="41"/>
      <c r="C335" s="20"/>
      <c r="D335" s="41"/>
      <c r="E335" s="20"/>
      <c r="F335" s="41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40"/>
      <c r="B336" s="41"/>
      <c r="C336" s="20"/>
      <c r="D336" s="41"/>
      <c r="E336" s="20"/>
      <c r="F336" s="41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40"/>
      <c r="B337" s="41"/>
      <c r="C337" s="20"/>
      <c r="D337" s="41"/>
      <c r="E337" s="20"/>
      <c r="F337" s="41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40"/>
      <c r="B338" s="41"/>
      <c r="C338" s="20"/>
      <c r="D338" s="41"/>
      <c r="E338" s="20"/>
      <c r="F338" s="41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40"/>
      <c r="B339" s="41"/>
      <c r="C339" s="20"/>
      <c r="D339" s="41"/>
      <c r="E339" s="20"/>
      <c r="F339" s="41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40"/>
      <c r="B340" s="41"/>
      <c r="C340" s="20"/>
      <c r="D340" s="41"/>
      <c r="E340" s="20"/>
      <c r="F340" s="41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40"/>
      <c r="B341" s="41"/>
      <c r="C341" s="20"/>
      <c r="D341" s="41"/>
      <c r="E341" s="20"/>
      <c r="F341" s="41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40"/>
      <c r="B342" s="41"/>
      <c r="C342" s="20"/>
      <c r="D342" s="41"/>
      <c r="E342" s="20"/>
      <c r="F342" s="41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40"/>
      <c r="B343" s="41"/>
      <c r="C343" s="20"/>
      <c r="D343" s="41"/>
      <c r="E343" s="20"/>
      <c r="F343" s="41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40"/>
      <c r="B344" s="41"/>
      <c r="C344" s="20"/>
      <c r="D344" s="41"/>
      <c r="E344" s="20"/>
      <c r="F344" s="41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40"/>
      <c r="B345" s="41"/>
      <c r="C345" s="20"/>
      <c r="D345" s="41"/>
      <c r="E345" s="20"/>
      <c r="F345" s="41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40"/>
      <c r="B346" s="41"/>
      <c r="C346" s="20"/>
      <c r="D346" s="41"/>
      <c r="E346" s="20"/>
      <c r="F346" s="41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40"/>
      <c r="B347" s="41"/>
      <c r="C347" s="20"/>
      <c r="D347" s="41"/>
      <c r="E347" s="20"/>
      <c r="F347" s="41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40"/>
      <c r="B348" s="41"/>
      <c r="C348" s="20"/>
      <c r="D348" s="41"/>
      <c r="E348" s="20"/>
      <c r="F348" s="41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40"/>
      <c r="B349" s="41"/>
      <c r="C349" s="20"/>
      <c r="D349" s="41"/>
      <c r="E349" s="20"/>
      <c r="F349" s="41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40"/>
      <c r="B350" s="41"/>
      <c r="C350" s="20"/>
      <c r="D350" s="41"/>
      <c r="E350" s="20"/>
      <c r="F350" s="41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40"/>
      <c r="B351" s="41"/>
      <c r="C351" s="20"/>
      <c r="D351" s="41"/>
      <c r="E351" s="20"/>
      <c r="F351" s="41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40"/>
      <c r="B352" s="41"/>
      <c r="C352" s="20"/>
      <c r="D352" s="41"/>
      <c r="E352" s="20"/>
      <c r="F352" s="41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40"/>
      <c r="B353" s="41"/>
      <c r="C353" s="20"/>
      <c r="D353" s="41"/>
      <c r="E353" s="20"/>
      <c r="F353" s="41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40"/>
      <c r="B354" s="41"/>
      <c r="C354" s="20"/>
      <c r="D354" s="41"/>
      <c r="E354" s="20"/>
      <c r="F354" s="41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40"/>
      <c r="B355" s="41"/>
      <c r="C355" s="20"/>
      <c r="D355" s="41"/>
      <c r="E355" s="20"/>
      <c r="F355" s="41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40"/>
      <c r="B356" s="41"/>
      <c r="C356" s="20"/>
      <c r="D356" s="41"/>
      <c r="E356" s="20"/>
      <c r="F356" s="41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40"/>
      <c r="B357" s="41"/>
      <c r="C357" s="20"/>
      <c r="D357" s="41"/>
      <c r="E357" s="20"/>
      <c r="F357" s="41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40"/>
      <c r="B358" s="41"/>
      <c r="C358" s="20"/>
      <c r="D358" s="41"/>
      <c r="E358" s="20"/>
      <c r="F358" s="41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40"/>
      <c r="B359" s="41"/>
      <c r="C359" s="20"/>
      <c r="D359" s="41"/>
      <c r="E359" s="20"/>
      <c r="F359" s="41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40"/>
      <c r="B360" s="41"/>
      <c r="C360" s="20"/>
      <c r="D360" s="41"/>
      <c r="E360" s="20"/>
      <c r="F360" s="41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40"/>
      <c r="B361" s="41"/>
      <c r="C361" s="20"/>
      <c r="D361" s="41"/>
      <c r="E361" s="20"/>
      <c r="F361" s="41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40"/>
      <c r="B362" s="41"/>
      <c r="C362" s="20"/>
      <c r="D362" s="41"/>
      <c r="E362" s="20"/>
      <c r="F362" s="41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40"/>
      <c r="B363" s="41"/>
      <c r="C363" s="20"/>
      <c r="D363" s="41"/>
      <c r="E363" s="20"/>
      <c r="F363" s="41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40"/>
      <c r="B364" s="41"/>
      <c r="C364" s="20"/>
      <c r="D364" s="41"/>
      <c r="E364" s="20"/>
      <c r="F364" s="41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40"/>
      <c r="B365" s="41"/>
      <c r="C365" s="20"/>
      <c r="D365" s="41"/>
      <c r="E365" s="20"/>
      <c r="F365" s="41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40"/>
      <c r="B366" s="41"/>
      <c r="C366" s="20"/>
      <c r="D366" s="41"/>
      <c r="E366" s="20"/>
      <c r="F366" s="41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40"/>
      <c r="B367" s="41"/>
      <c r="C367" s="20"/>
      <c r="D367" s="41"/>
      <c r="E367" s="20"/>
      <c r="F367" s="41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40"/>
      <c r="B368" s="41"/>
      <c r="C368" s="20"/>
      <c r="D368" s="41"/>
      <c r="E368" s="20"/>
      <c r="F368" s="41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40"/>
      <c r="B369" s="41"/>
      <c r="C369" s="20"/>
      <c r="D369" s="41"/>
      <c r="E369" s="20"/>
      <c r="F369" s="41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40"/>
      <c r="B370" s="41"/>
      <c r="C370" s="20"/>
      <c r="D370" s="41"/>
      <c r="E370" s="20"/>
      <c r="F370" s="41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40"/>
      <c r="B371" s="41"/>
      <c r="C371" s="20"/>
      <c r="D371" s="41"/>
      <c r="E371" s="20"/>
      <c r="F371" s="41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40"/>
      <c r="B372" s="41"/>
      <c r="C372" s="20"/>
      <c r="D372" s="41"/>
      <c r="E372" s="20"/>
      <c r="F372" s="41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40"/>
      <c r="B373" s="41"/>
      <c r="C373" s="20"/>
      <c r="D373" s="41"/>
      <c r="E373" s="20"/>
      <c r="F373" s="41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40"/>
      <c r="B374" s="41"/>
      <c r="C374" s="20"/>
      <c r="D374" s="41"/>
      <c r="E374" s="20"/>
      <c r="F374" s="41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40"/>
      <c r="B375" s="41"/>
      <c r="C375" s="20"/>
      <c r="D375" s="41"/>
      <c r="E375" s="20"/>
      <c r="F375" s="41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40"/>
      <c r="B376" s="41"/>
      <c r="C376" s="20"/>
      <c r="D376" s="41"/>
      <c r="E376" s="20"/>
      <c r="F376" s="41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40"/>
      <c r="B377" s="41"/>
      <c r="C377" s="20"/>
      <c r="D377" s="41"/>
      <c r="E377" s="20"/>
      <c r="F377" s="41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40"/>
      <c r="B378" s="41"/>
      <c r="C378" s="20"/>
      <c r="D378" s="41"/>
      <c r="E378" s="20"/>
      <c r="F378" s="41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40"/>
      <c r="B379" s="41"/>
      <c r="C379" s="20"/>
      <c r="D379" s="41"/>
      <c r="E379" s="20"/>
      <c r="F379" s="41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40"/>
      <c r="B380" s="41"/>
      <c r="C380" s="20"/>
      <c r="D380" s="41"/>
      <c r="E380" s="20"/>
      <c r="F380" s="41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40"/>
      <c r="B381" s="41"/>
      <c r="C381" s="20"/>
      <c r="D381" s="41"/>
      <c r="E381" s="20"/>
      <c r="F381" s="41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40"/>
      <c r="B382" s="41"/>
      <c r="C382" s="20"/>
      <c r="D382" s="41"/>
      <c r="E382" s="20"/>
      <c r="F382" s="41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40"/>
      <c r="B383" s="41"/>
      <c r="C383" s="20"/>
      <c r="D383" s="41"/>
      <c r="E383" s="20"/>
      <c r="F383" s="41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40"/>
      <c r="B384" s="41"/>
      <c r="C384" s="20"/>
      <c r="D384" s="41"/>
      <c r="E384" s="20"/>
      <c r="F384" s="41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40"/>
      <c r="B385" s="41"/>
      <c r="C385" s="20"/>
      <c r="D385" s="41"/>
      <c r="E385" s="20"/>
      <c r="F385" s="41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40"/>
      <c r="B386" s="41"/>
      <c r="C386" s="20"/>
      <c r="D386" s="41"/>
      <c r="E386" s="20"/>
      <c r="F386" s="41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40"/>
      <c r="B387" s="41"/>
      <c r="C387" s="20"/>
      <c r="D387" s="41"/>
      <c r="E387" s="20"/>
      <c r="F387" s="41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40"/>
      <c r="B388" s="41"/>
      <c r="C388" s="20"/>
      <c r="D388" s="41"/>
      <c r="E388" s="20"/>
      <c r="F388" s="41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40"/>
      <c r="B389" s="41"/>
      <c r="C389" s="20"/>
      <c r="D389" s="41"/>
      <c r="E389" s="20"/>
      <c r="F389" s="41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40"/>
      <c r="B390" s="41"/>
      <c r="C390" s="20"/>
      <c r="D390" s="41"/>
      <c r="E390" s="20"/>
      <c r="F390" s="41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40"/>
      <c r="B391" s="41"/>
      <c r="C391" s="20"/>
      <c r="D391" s="41"/>
      <c r="E391" s="20"/>
      <c r="F391" s="41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40"/>
      <c r="B392" s="41"/>
      <c r="C392" s="20"/>
      <c r="D392" s="41"/>
      <c r="E392" s="20"/>
      <c r="F392" s="41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40"/>
      <c r="B393" s="41"/>
      <c r="C393" s="20"/>
      <c r="D393" s="41"/>
      <c r="E393" s="20"/>
      <c r="F393" s="41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40"/>
      <c r="B394" s="41"/>
      <c r="C394" s="20"/>
      <c r="D394" s="41"/>
      <c r="E394" s="20"/>
      <c r="F394" s="41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40"/>
      <c r="B395" s="41"/>
      <c r="C395" s="20"/>
      <c r="D395" s="41"/>
      <c r="E395" s="20"/>
      <c r="F395" s="41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40"/>
      <c r="B396" s="41"/>
      <c r="C396" s="20"/>
      <c r="D396" s="41"/>
      <c r="E396" s="20"/>
      <c r="F396" s="41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40"/>
      <c r="B397" s="41"/>
      <c r="C397" s="20"/>
      <c r="D397" s="41"/>
      <c r="E397" s="20"/>
      <c r="F397" s="41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40"/>
      <c r="B398" s="41"/>
      <c r="C398" s="20"/>
      <c r="D398" s="41"/>
      <c r="E398" s="20"/>
      <c r="F398" s="41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40"/>
      <c r="B399" s="41"/>
      <c r="C399" s="20"/>
      <c r="D399" s="41"/>
      <c r="E399" s="20"/>
      <c r="F399" s="41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40"/>
      <c r="B400" s="41"/>
      <c r="C400" s="20"/>
      <c r="D400" s="41"/>
      <c r="E400" s="20"/>
      <c r="F400" s="41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40"/>
      <c r="B401" s="41"/>
      <c r="C401" s="20"/>
      <c r="D401" s="41"/>
      <c r="E401" s="20"/>
      <c r="F401" s="41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40"/>
      <c r="B402" s="41"/>
      <c r="C402" s="20"/>
      <c r="D402" s="41"/>
      <c r="E402" s="20"/>
      <c r="F402" s="41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40"/>
      <c r="B403" s="41"/>
      <c r="C403" s="20"/>
      <c r="D403" s="41"/>
      <c r="E403" s="20"/>
      <c r="F403" s="41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40"/>
      <c r="B404" s="41"/>
      <c r="C404" s="20"/>
      <c r="D404" s="41"/>
      <c r="E404" s="20"/>
      <c r="F404" s="41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40"/>
      <c r="B405" s="41"/>
      <c r="C405" s="20"/>
      <c r="D405" s="41"/>
      <c r="E405" s="20"/>
      <c r="F405" s="41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40"/>
      <c r="B406" s="41"/>
      <c r="C406" s="20"/>
      <c r="D406" s="41"/>
      <c r="E406" s="20"/>
      <c r="F406" s="41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40"/>
      <c r="B407" s="41"/>
      <c r="C407" s="20"/>
      <c r="D407" s="41"/>
      <c r="E407" s="20"/>
      <c r="F407" s="41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40"/>
      <c r="B408" s="41"/>
      <c r="C408" s="20"/>
      <c r="D408" s="41"/>
      <c r="E408" s="20"/>
      <c r="F408" s="41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40"/>
      <c r="B409" s="41"/>
      <c r="C409" s="20"/>
      <c r="D409" s="41"/>
      <c r="E409" s="20"/>
      <c r="F409" s="41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40"/>
      <c r="B410" s="41"/>
      <c r="C410" s="20"/>
      <c r="D410" s="41"/>
      <c r="E410" s="20"/>
      <c r="F410" s="41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40"/>
      <c r="B411" s="41"/>
      <c r="C411" s="20"/>
      <c r="D411" s="41"/>
      <c r="E411" s="20"/>
      <c r="F411" s="41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40"/>
      <c r="B412" s="41"/>
      <c r="C412" s="20"/>
      <c r="D412" s="41"/>
      <c r="E412" s="20"/>
      <c r="F412" s="41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40"/>
      <c r="B413" s="41"/>
      <c r="C413" s="20"/>
      <c r="D413" s="41"/>
      <c r="E413" s="20"/>
      <c r="F413" s="41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40"/>
      <c r="B414" s="41"/>
      <c r="C414" s="20"/>
      <c r="D414" s="41"/>
      <c r="E414" s="20"/>
      <c r="F414" s="41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40"/>
      <c r="B415" s="41"/>
      <c r="C415" s="20"/>
      <c r="D415" s="41"/>
      <c r="E415" s="20"/>
      <c r="F415" s="41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40"/>
      <c r="B416" s="41"/>
      <c r="C416" s="20"/>
      <c r="D416" s="41"/>
      <c r="E416" s="20"/>
      <c r="F416" s="41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40"/>
      <c r="B417" s="41"/>
      <c r="C417" s="20"/>
      <c r="D417" s="41"/>
      <c r="E417" s="20"/>
      <c r="F417" s="41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40"/>
      <c r="B418" s="41"/>
      <c r="C418" s="20"/>
      <c r="D418" s="41"/>
      <c r="E418" s="20"/>
      <c r="F418" s="41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40"/>
      <c r="B419" s="41"/>
      <c r="C419" s="20"/>
      <c r="D419" s="41"/>
      <c r="E419" s="20"/>
      <c r="F419" s="41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40"/>
      <c r="B420" s="41"/>
      <c r="C420" s="20"/>
      <c r="D420" s="41"/>
      <c r="E420" s="20"/>
      <c r="F420" s="41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40"/>
      <c r="B421" s="41"/>
      <c r="C421" s="20"/>
      <c r="D421" s="41"/>
      <c r="E421" s="20"/>
      <c r="F421" s="41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40"/>
      <c r="B422" s="41"/>
      <c r="C422" s="20"/>
      <c r="D422" s="41"/>
      <c r="E422" s="20"/>
      <c r="F422" s="41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40"/>
      <c r="B423" s="41"/>
      <c r="C423" s="20"/>
      <c r="D423" s="41"/>
      <c r="E423" s="20"/>
      <c r="F423" s="41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40"/>
      <c r="B424" s="41"/>
      <c r="C424" s="20"/>
      <c r="D424" s="41"/>
      <c r="E424" s="20"/>
      <c r="F424" s="41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40"/>
      <c r="B425" s="41"/>
      <c r="C425" s="20"/>
      <c r="D425" s="41"/>
      <c r="E425" s="20"/>
      <c r="F425" s="41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40"/>
      <c r="B426" s="41"/>
      <c r="C426" s="20"/>
      <c r="D426" s="41"/>
      <c r="E426" s="20"/>
      <c r="F426" s="41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40"/>
      <c r="B427" s="41"/>
      <c r="C427" s="20"/>
      <c r="D427" s="41"/>
      <c r="E427" s="20"/>
      <c r="F427" s="41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40"/>
      <c r="B428" s="41"/>
      <c r="C428" s="20"/>
      <c r="D428" s="41"/>
      <c r="E428" s="20"/>
      <c r="F428" s="41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40"/>
      <c r="B429" s="41"/>
      <c r="C429" s="20"/>
      <c r="D429" s="41"/>
      <c r="E429" s="20"/>
      <c r="F429" s="41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40"/>
      <c r="B430" s="41"/>
      <c r="C430" s="20"/>
      <c r="D430" s="41"/>
      <c r="E430" s="20"/>
      <c r="F430" s="41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40"/>
      <c r="B431" s="41"/>
      <c r="C431" s="20"/>
      <c r="D431" s="41"/>
      <c r="E431" s="20"/>
      <c r="F431" s="41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40"/>
      <c r="B432" s="41"/>
      <c r="C432" s="20"/>
      <c r="D432" s="41"/>
      <c r="E432" s="20"/>
      <c r="F432" s="41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40"/>
      <c r="B433" s="41"/>
      <c r="C433" s="20"/>
      <c r="D433" s="41"/>
      <c r="E433" s="20"/>
      <c r="F433" s="41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40"/>
      <c r="B434" s="41"/>
      <c r="C434" s="20"/>
      <c r="D434" s="41"/>
      <c r="E434" s="20"/>
      <c r="F434" s="41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40"/>
      <c r="B435" s="41"/>
      <c r="C435" s="20"/>
      <c r="D435" s="41"/>
      <c r="E435" s="20"/>
      <c r="F435" s="41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40"/>
      <c r="B436" s="41"/>
      <c r="C436" s="20"/>
      <c r="D436" s="41"/>
      <c r="E436" s="20"/>
      <c r="F436" s="41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40"/>
      <c r="B437" s="41"/>
      <c r="C437" s="20"/>
      <c r="D437" s="41"/>
      <c r="E437" s="20"/>
      <c r="F437" s="41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40"/>
      <c r="B438" s="41"/>
      <c r="C438" s="20"/>
      <c r="D438" s="41"/>
      <c r="E438" s="20"/>
      <c r="F438" s="41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40"/>
      <c r="B439" s="41"/>
      <c r="C439" s="20"/>
      <c r="D439" s="41"/>
      <c r="E439" s="20"/>
      <c r="F439" s="41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40"/>
      <c r="B440" s="41"/>
      <c r="C440" s="20"/>
      <c r="D440" s="41"/>
      <c r="E440" s="20"/>
      <c r="F440" s="41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40"/>
      <c r="B441" s="41"/>
      <c r="C441" s="20"/>
      <c r="D441" s="41"/>
      <c r="E441" s="20"/>
      <c r="F441" s="41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40"/>
      <c r="B442" s="41"/>
      <c r="C442" s="20"/>
      <c r="D442" s="41"/>
      <c r="E442" s="20"/>
      <c r="F442" s="41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40"/>
      <c r="B443" s="41"/>
      <c r="C443" s="20"/>
      <c r="D443" s="41"/>
      <c r="E443" s="20"/>
      <c r="F443" s="41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40"/>
      <c r="B444" s="41"/>
      <c r="C444" s="20"/>
      <c r="D444" s="41"/>
      <c r="E444" s="20"/>
      <c r="F444" s="41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40"/>
      <c r="B445" s="41"/>
      <c r="C445" s="20"/>
      <c r="D445" s="41"/>
      <c r="E445" s="20"/>
      <c r="F445" s="41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40"/>
      <c r="B446" s="41"/>
      <c r="C446" s="20"/>
      <c r="D446" s="41"/>
      <c r="E446" s="20"/>
      <c r="F446" s="41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40"/>
      <c r="B447" s="41"/>
      <c r="C447" s="20"/>
      <c r="D447" s="41"/>
      <c r="E447" s="20"/>
      <c r="F447" s="41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40"/>
      <c r="B448" s="41"/>
      <c r="C448" s="20"/>
      <c r="D448" s="41"/>
      <c r="E448" s="20"/>
      <c r="F448" s="41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40"/>
      <c r="B449" s="41"/>
      <c r="C449" s="20"/>
      <c r="D449" s="41"/>
      <c r="E449" s="20"/>
      <c r="F449" s="41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40"/>
      <c r="B450" s="41"/>
      <c r="C450" s="20"/>
      <c r="D450" s="41"/>
      <c r="E450" s="20"/>
      <c r="F450" s="41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40"/>
      <c r="B451" s="41"/>
      <c r="C451" s="20"/>
      <c r="D451" s="41"/>
      <c r="E451" s="20"/>
      <c r="F451" s="41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40"/>
      <c r="B452" s="41"/>
      <c r="C452" s="20"/>
      <c r="D452" s="41"/>
      <c r="E452" s="20"/>
      <c r="F452" s="41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40"/>
      <c r="B453" s="41"/>
      <c r="C453" s="20"/>
      <c r="D453" s="41"/>
      <c r="E453" s="20"/>
      <c r="F453" s="41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40"/>
      <c r="B454" s="41"/>
      <c r="C454" s="20"/>
      <c r="D454" s="41"/>
      <c r="E454" s="20"/>
      <c r="F454" s="41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40"/>
      <c r="B455" s="41"/>
      <c r="C455" s="20"/>
      <c r="D455" s="41"/>
      <c r="E455" s="20"/>
      <c r="F455" s="41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40"/>
      <c r="B456" s="41"/>
      <c r="C456" s="20"/>
      <c r="D456" s="41"/>
      <c r="E456" s="20"/>
      <c r="F456" s="41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40"/>
      <c r="B457" s="41"/>
      <c r="C457" s="20"/>
      <c r="D457" s="41"/>
      <c r="E457" s="20"/>
      <c r="F457" s="41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40"/>
      <c r="B458" s="41"/>
      <c r="C458" s="20"/>
      <c r="D458" s="41"/>
      <c r="E458" s="20"/>
      <c r="F458" s="41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40"/>
      <c r="B459" s="41"/>
      <c r="C459" s="20"/>
      <c r="D459" s="41"/>
      <c r="E459" s="20"/>
      <c r="F459" s="41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40"/>
      <c r="B460" s="41"/>
      <c r="C460" s="20"/>
      <c r="D460" s="41"/>
      <c r="E460" s="20"/>
      <c r="F460" s="41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40"/>
      <c r="B461" s="41"/>
      <c r="C461" s="20"/>
      <c r="D461" s="41"/>
      <c r="E461" s="20"/>
      <c r="F461" s="41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40"/>
      <c r="B462" s="41"/>
      <c r="C462" s="20"/>
      <c r="D462" s="41"/>
      <c r="E462" s="20"/>
      <c r="F462" s="41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40"/>
      <c r="B463" s="41"/>
      <c r="C463" s="20"/>
      <c r="D463" s="41"/>
      <c r="E463" s="20"/>
      <c r="F463" s="41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40"/>
      <c r="B464" s="41"/>
      <c r="C464" s="20"/>
      <c r="D464" s="41"/>
      <c r="E464" s="20"/>
      <c r="F464" s="41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40"/>
      <c r="B465" s="41"/>
      <c r="C465" s="20"/>
      <c r="D465" s="41"/>
      <c r="E465" s="20"/>
      <c r="F465" s="41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40"/>
      <c r="B466" s="41"/>
      <c r="C466" s="20"/>
      <c r="D466" s="41"/>
      <c r="E466" s="20"/>
      <c r="F466" s="41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40"/>
      <c r="B467" s="41"/>
      <c r="C467" s="20"/>
      <c r="D467" s="41"/>
      <c r="E467" s="20"/>
      <c r="F467" s="41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40"/>
      <c r="B468" s="41"/>
      <c r="C468" s="20"/>
      <c r="D468" s="41"/>
      <c r="E468" s="20"/>
      <c r="F468" s="41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40"/>
      <c r="B469" s="41"/>
      <c r="C469" s="20"/>
      <c r="D469" s="41"/>
      <c r="E469" s="20"/>
      <c r="F469" s="41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40"/>
      <c r="B470" s="41"/>
      <c r="C470" s="20"/>
      <c r="D470" s="41"/>
      <c r="E470" s="20"/>
      <c r="F470" s="41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40"/>
      <c r="B471" s="41"/>
      <c r="C471" s="20"/>
      <c r="D471" s="41"/>
      <c r="E471" s="20"/>
      <c r="F471" s="41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40"/>
      <c r="B472" s="41"/>
      <c r="C472" s="20"/>
      <c r="D472" s="41"/>
      <c r="E472" s="20"/>
      <c r="F472" s="41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40"/>
      <c r="B473" s="41"/>
      <c r="C473" s="20"/>
      <c r="D473" s="41"/>
      <c r="E473" s="20"/>
      <c r="F473" s="41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40"/>
      <c r="B474" s="41"/>
      <c r="C474" s="20"/>
      <c r="D474" s="41"/>
      <c r="E474" s="20"/>
      <c r="F474" s="41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40"/>
      <c r="B475" s="41"/>
      <c r="C475" s="20"/>
      <c r="D475" s="41"/>
      <c r="E475" s="20"/>
      <c r="F475" s="41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40"/>
      <c r="B476" s="41"/>
      <c r="C476" s="20"/>
      <c r="D476" s="41"/>
      <c r="E476" s="20"/>
      <c r="F476" s="41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40"/>
      <c r="B477" s="41"/>
      <c r="C477" s="20"/>
      <c r="D477" s="41"/>
      <c r="E477" s="20"/>
      <c r="F477" s="41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40"/>
      <c r="B478" s="41"/>
      <c r="C478" s="20"/>
      <c r="D478" s="41"/>
      <c r="E478" s="20"/>
      <c r="F478" s="41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40"/>
      <c r="B479" s="41"/>
      <c r="C479" s="20"/>
      <c r="D479" s="41"/>
      <c r="E479" s="20"/>
      <c r="F479" s="41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40"/>
      <c r="B480" s="41"/>
      <c r="C480" s="20"/>
      <c r="D480" s="41"/>
      <c r="E480" s="20"/>
      <c r="F480" s="41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40"/>
      <c r="B481" s="41"/>
      <c r="C481" s="20"/>
      <c r="D481" s="41"/>
      <c r="E481" s="20"/>
      <c r="F481" s="41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40"/>
      <c r="B482" s="41"/>
      <c r="C482" s="20"/>
      <c r="D482" s="41"/>
      <c r="E482" s="20"/>
      <c r="F482" s="41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40"/>
      <c r="B483" s="41"/>
      <c r="C483" s="20"/>
      <c r="D483" s="41"/>
      <c r="E483" s="20"/>
      <c r="F483" s="41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40"/>
      <c r="B484" s="41"/>
      <c r="C484" s="20"/>
      <c r="D484" s="41"/>
      <c r="E484" s="20"/>
      <c r="F484" s="41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40"/>
      <c r="B485" s="41"/>
      <c r="C485" s="20"/>
      <c r="D485" s="41"/>
      <c r="E485" s="20"/>
      <c r="F485" s="41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40"/>
      <c r="B486" s="41"/>
      <c r="C486" s="20"/>
      <c r="D486" s="41"/>
      <c r="E486" s="20"/>
      <c r="F486" s="41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40"/>
      <c r="B487" s="41"/>
      <c r="C487" s="20"/>
      <c r="D487" s="41"/>
      <c r="E487" s="20"/>
      <c r="F487" s="41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40"/>
      <c r="B488" s="41"/>
      <c r="C488" s="20"/>
      <c r="D488" s="41"/>
      <c r="E488" s="20"/>
      <c r="F488" s="41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40"/>
      <c r="B489" s="41"/>
      <c r="C489" s="20"/>
      <c r="D489" s="41"/>
      <c r="E489" s="20"/>
      <c r="F489" s="41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40"/>
      <c r="B490" s="41"/>
      <c r="C490" s="20"/>
      <c r="D490" s="41"/>
      <c r="E490" s="20"/>
      <c r="F490" s="41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40"/>
      <c r="B491" s="41"/>
      <c r="C491" s="20"/>
      <c r="D491" s="41"/>
      <c r="E491" s="20"/>
      <c r="F491" s="41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40"/>
      <c r="B492" s="41"/>
      <c r="C492" s="20"/>
      <c r="D492" s="41"/>
      <c r="E492" s="20"/>
      <c r="F492" s="41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40"/>
      <c r="B493" s="41"/>
      <c r="C493" s="20"/>
      <c r="D493" s="41"/>
      <c r="E493" s="20"/>
      <c r="F493" s="41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40"/>
      <c r="B494" s="41"/>
      <c r="C494" s="20"/>
      <c r="D494" s="41"/>
      <c r="E494" s="20"/>
      <c r="F494" s="41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40"/>
      <c r="B495" s="41"/>
      <c r="C495" s="20"/>
      <c r="D495" s="41"/>
      <c r="E495" s="20"/>
      <c r="F495" s="41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40"/>
      <c r="B496" s="41"/>
      <c r="C496" s="20"/>
      <c r="D496" s="41"/>
      <c r="E496" s="20"/>
      <c r="F496" s="41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40"/>
      <c r="B497" s="41"/>
      <c r="C497" s="20"/>
      <c r="D497" s="41"/>
      <c r="E497" s="20"/>
      <c r="F497" s="41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40"/>
      <c r="B498" s="41"/>
      <c r="C498" s="20"/>
      <c r="D498" s="41"/>
      <c r="E498" s="20"/>
      <c r="F498" s="41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40"/>
      <c r="B499" s="41"/>
      <c r="C499" s="20"/>
      <c r="D499" s="41"/>
      <c r="E499" s="20"/>
      <c r="F499" s="41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40"/>
      <c r="B500" s="41"/>
      <c r="C500" s="20"/>
      <c r="D500" s="41"/>
      <c r="E500" s="20"/>
      <c r="F500" s="41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40"/>
      <c r="B501" s="41"/>
      <c r="C501" s="20"/>
      <c r="D501" s="41"/>
      <c r="E501" s="20"/>
      <c r="F501" s="41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40"/>
      <c r="B502" s="41"/>
      <c r="C502" s="20"/>
      <c r="D502" s="41"/>
      <c r="E502" s="20"/>
      <c r="F502" s="41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40"/>
      <c r="B503" s="41"/>
      <c r="C503" s="20"/>
      <c r="D503" s="41"/>
      <c r="E503" s="20"/>
      <c r="F503" s="41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40"/>
      <c r="B504" s="41"/>
      <c r="C504" s="20"/>
      <c r="D504" s="41"/>
      <c r="E504" s="20"/>
      <c r="F504" s="41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40"/>
      <c r="B505" s="41"/>
      <c r="C505" s="20"/>
      <c r="D505" s="41"/>
      <c r="E505" s="20"/>
      <c r="F505" s="41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40"/>
      <c r="B506" s="41"/>
      <c r="C506" s="20"/>
      <c r="D506" s="41"/>
      <c r="E506" s="20"/>
      <c r="F506" s="41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40"/>
      <c r="B507" s="41"/>
      <c r="C507" s="20"/>
      <c r="D507" s="41"/>
      <c r="E507" s="20"/>
      <c r="F507" s="41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40"/>
      <c r="B508" s="41"/>
      <c r="C508" s="20"/>
      <c r="D508" s="41"/>
      <c r="E508" s="20"/>
      <c r="F508" s="41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40"/>
      <c r="B509" s="41"/>
      <c r="C509" s="20"/>
      <c r="D509" s="41"/>
      <c r="E509" s="20"/>
      <c r="F509" s="41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40"/>
      <c r="B510" s="41"/>
      <c r="C510" s="20"/>
      <c r="D510" s="41"/>
      <c r="E510" s="20"/>
      <c r="F510" s="41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40"/>
      <c r="B511" s="41"/>
      <c r="C511" s="20"/>
      <c r="D511" s="41"/>
      <c r="E511" s="20"/>
      <c r="F511" s="41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40"/>
      <c r="B512" s="41"/>
      <c r="C512" s="20"/>
      <c r="D512" s="41"/>
      <c r="E512" s="20"/>
      <c r="F512" s="41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40"/>
      <c r="B513" s="41"/>
      <c r="C513" s="20"/>
      <c r="D513" s="41"/>
      <c r="E513" s="20"/>
      <c r="F513" s="41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40"/>
      <c r="B514" s="41"/>
      <c r="C514" s="20"/>
      <c r="D514" s="41"/>
      <c r="E514" s="20"/>
      <c r="F514" s="41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40"/>
      <c r="B515" s="41"/>
      <c r="C515" s="20"/>
      <c r="D515" s="41"/>
      <c r="E515" s="20"/>
      <c r="F515" s="41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40"/>
      <c r="B516" s="41"/>
      <c r="C516" s="20"/>
      <c r="D516" s="41"/>
      <c r="E516" s="20"/>
      <c r="F516" s="41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40"/>
      <c r="B517" s="41"/>
      <c r="C517" s="20"/>
      <c r="D517" s="41"/>
      <c r="E517" s="20"/>
      <c r="F517" s="41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40"/>
      <c r="B518" s="41"/>
      <c r="C518" s="20"/>
      <c r="D518" s="41"/>
      <c r="E518" s="20"/>
      <c r="F518" s="41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40"/>
      <c r="B519" s="41"/>
      <c r="C519" s="20"/>
      <c r="D519" s="41"/>
      <c r="E519" s="20"/>
      <c r="F519" s="41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40"/>
      <c r="B520" s="41"/>
      <c r="C520" s="20"/>
      <c r="D520" s="41"/>
      <c r="E520" s="20"/>
      <c r="F520" s="41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40"/>
      <c r="B521" s="41"/>
      <c r="C521" s="20"/>
      <c r="D521" s="41"/>
      <c r="E521" s="20"/>
      <c r="F521" s="41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40"/>
      <c r="B522" s="41"/>
      <c r="C522" s="20"/>
      <c r="D522" s="41"/>
      <c r="E522" s="20"/>
      <c r="F522" s="41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40"/>
      <c r="B523" s="41"/>
      <c r="C523" s="20"/>
      <c r="D523" s="41"/>
      <c r="E523" s="20"/>
      <c r="F523" s="41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40"/>
      <c r="B524" s="41"/>
      <c r="C524" s="20"/>
      <c r="D524" s="41"/>
      <c r="E524" s="20"/>
      <c r="F524" s="41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40"/>
      <c r="B525" s="41"/>
      <c r="C525" s="20"/>
      <c r="D525" s="41"/>
      <c r="E525" s="20"/>
      <c r="F525" s="41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40"/>
      <c r="B526" s="41"/>
      <c r="C526" s="20"/>
      <c r="D526" s="41"/>
      <c r="E526" s="20"/>
      <c r="F526" s="41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40"/>
      <c r="B527" s="41"/>
      <c r="C527" s="20"/>
      <c r="D527" s="41"/>
      <c r="E527" s="20"/>
      <c r="F527" s="41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40"/>
      <c r="B528" s="41"/>
      <c r="C528" s="20"/>
      <c r="D528" s="41"/>
      <c r="E528" s="20"/>
      <c r="F528" s="41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40"/>
      <c r="B529" s="41"/>
      <c r="C529" s="20"/>
      <c r="D529" s="41"/>
      <c r="E529" s="20"/>
      <c r="F529" s="41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40"/>
      <c r="B530" s="41"/>
      <c r="C530" s="20"/>
      <c r="D530" s="41"/>
      <c r="E530" s="20"/>
      <c r="F530" s="41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40"/>
      <c r="B531" s="41"/>
      <c r="C531" s="20"/>
      <c r="D531" s="41"/>
      <c r="E531" s="20"/>
      <c r="F531" s="41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40"/>
      <c r="B532" s="41"/>
      <c r="C532" s="20"/>
      <c r="D532" s="41"/>
      <c r="E532" s="20"/>
      <c r="F532" s="41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40"/>
      <c r="B533" s="41"/>
      <c r="C533" s="20"/>
      <c r="D533" s="41"/>
      <c r="E533" s="20"/>
      <c r="F533" s="41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40"/>
      <c r="B534" s="41"/>
      <c r="C534" s="20"/>
      <c r="D534" s="41"/>
      <c r="E534" s="20"/>
      <c r="F534" s="41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40"/>
      <c r="B535" s="41"/>
      <c r="C535" s="20"/>
      <c r="D535" s="41"/>
      <c r="E535" s="20"/>
      <c r="F535" s="41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40"/>
      <c r="B536" s="41"/>
      <c r="C536" s="20"/>
      <c r="D536" s="41"/>
      <c r="E536" s="20"/>
      <c r="F536" s="41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40"/>
      <c r="B537" s="41"/>
      <c r="C537" s="20"/>
      <c r="D537" s="41"/>
      <c r="E537" s="20"/>
      <c r="F537" s="41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40"/>
      <c r="B538" s="41"/>
      <c r="C538" s="20"/>
      <c r="D538" s="41"/>
      <c r="E538" s="20"/>
      <c r="F538" s="41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40"/>
      <c r="B539" s="41"/>
      <c r="C539" s="20"/>
      <c r="D539" s="41"/>
      <c r="E539" s="20"/>
      <c r="F539" s="41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40"/>
      <c r="B540" s="41"/>
      <c r="C540" s="20"/>
      <c r="D540" s="41"/>
      <c r="E540" s="20"/>
      <c r="F540" s="41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40"/>
      <c r="B541" s="41"/>
      <c r="C541" s="20"/>
      <c r="D541" s="41"/>
      <c r="E541" s="20"/>
      <c r="F541" s="41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40"/>
      <c r="B542" s="41"/>
      <c r="C542" s="20"/>
      <c r="D542" s="41"/>
      <c r="E542" s="20"/>
      <c r="F542" s="41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40"/>
      <c r="B543" s="41"/>
      <c r="C543" s="20"/>
      <c r="D543" s="41"/>
      <c r="E543" s="20"/>
      <c r="F543" s="41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40"/>
      <c r="B544" s="41"/>
      <c r="C544" s="20"/>
      <c r="D544" s="41"/>
      <c r="E544" s="20"/>
      <c r="F544" s="41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40"/>
      <c r="B545" s="41"/>
      <c r="C545" s="20"/>
      <c r="D545" s="41"/>
      <c r="E545" s="20"/>
      <c r="F545" s="41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40"/>
      <c r="B546" s="41"/>
      <c r="C546" s="20"/>
      <c r="D546" s="41"/>
      <c r="E546" s="20"/>
      <c r="F546" s="41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40"/>
      <c r="B547" s="41"/>
      <c r="C547" s="20"/>
      <c r="D547" s="41"/>
      <c r="E547" s="20"/>
      <c r="F547" s="41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40"/>
      <c r="B548" s="41"/>
      <c r="C548" s="20"/>
      <c r="D548" s="41"/>
      <c r="E548" s="20"/>
      <c r="F548" s="41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40"/>
      <c r="B549" s="41"/>
      <c r="C549" s="20"/>
      <c r="D549" s="41"/>
      <c r="E549" s="20"/>
      <c r="F549" s="41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40"/>
      <c r="B550" s="41"/>
      <c r="C550" s="20"/>
      <c r="D550" s="41"/>
      <c r="E550" s="20"/>
      <c r="F550" s="41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40"/>
      <c r="B551" s="41"/>
      <c r="C551" s="20"/>
      <c r="D551" s="41"/>
      <c r="E551" s="20"/>
      <c r="F551" s="41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40"/>
      <c r="B552" s="41"/>
      <c r="C552" s="20"/>
      <c r="D552" s="41"/>
      <c r="E552" s="20"/>
      <c r="F552" s="41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40"/>
      <c r="B553" s="41"/>
      <c r="C553" s="20"/>
      <c r="D553" s="41"/>
      <c r="E553" s="20"/>
      <c r="F553" s="41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40"/>
      <c r="B554" s="41"/>
      <c r="C554" s="20"/>
      <c r="D554" s="41"/>
      <c r="E554" s="20"/>
      <c r="F554" s="41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40"/>
      <c r="B555" s="41"/>
      <c r="C555" s="20"/>
      <c r="D555" s="41"/>
      <c r="E555" s="20"/>
      <c r="F555" s="41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40"/>
      <c r="B556" s="41"/>
      <c r="C556" s="20"/>
      <c r="D556" s="41"/>
      <c r="E556" s="20"/>
      <c r="F556" s="41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40"/>
      <c r="B557" s="41"/>
      <c r="C557" s="20"/>
      <c r="D557" s="41"/>
      <c r="E557" s="20"/>
      <c r="F557" s="41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40"/>
      <c r="B558" s="41"/>
      <c r="C558" s="20"/>
      <c r="D558" s="41"/>
      <c r="E558" s="20"/>
      <c r="F558" s="41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40"/>
      <c r="B559" s="41"/>
      <c r="C559" s="20"/>
      <c r="D559" s="41"/>
      <c r="E559" s="20"/>
      <c r="F559" s="41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40"/>
      <c r="B560" s="41"/>
      <c r="C560" s="20"/>
      <c r="D560" s="41"/>
      <c r="E560" s="20"/>
      <c r="F560" s="41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40"/>
      <c r="B561" s="41"/>
      <c r="C561" s="20"/>
      <c r="D561" s="41"/>
      <c r="E561" s="20"/>
      <c r="F561" s="41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40"/>
      <c r="B562" s="41"/>
      <c r="C562" s="20"/>
      <c r="D562" s="41"/>
      <c r="E562" s="20"/>
      <c r="F562" s="41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40"/>
      <c r="B563" s="41"/>
      <c r="C563" s="20"/>
      <c r="D563" s="41"/>
      <c r="E563" s="20"/>
      <c r="F563" s="41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40"/>
      <c r="B564" s="41"/>
      <c r="C564" s="20"/>
      <c r="D564" s="41"/>
      <c r="E564" s="20"/>
      <c r="F564" s="41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40"/>
      <c r="B565" s="41"/>
      <c r="C565" s="20"/>
      <c r="D565" s="41"/>
      <c r="E565" s="20"/>
      <c r="F565" s="41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40"/>
      <c r="B566" s="41"/>
      <c r="C566" s="20"/>
      <c r="D566" s="41"/>
      <c r="E566" s="20"/>
      <c r="F566" s="41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40"/>
      <c r="B567" s="41"/>
      <c r="C567" s="20"/>
      <c r="D567" s="41"/>
      <c r="E567" s="20"/>
      <c r="F567" s="41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40"/>
      <c r="B568" s="41"/>
      <c r="C568" s="20"/>
      <c r="D568" s="41"/>
      <c r="E568" s="20"/>
      <c r="F568" s="41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40"/>
      <c r="B569" s="41"/>
      <c r="C569" s="20"/>
      <c r="D569" s="41"/>
      <c r="E569" s="20"/>
      <c r="F569" s="41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40"/>
      <c r="B570" s="41"/>
      <c r="C570" s="20"/>
      <c r="D570" s="41"/>
      <c r="E570" s="20"/>
      <c r="F570" s="41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40"/>
      <c r="B571" s="41"/>
      <c r="C571" s="20"/>
      <c r="D571" s="41"/>
      <c r="E571" s="20"/>
      <c r="F571" s="41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40"/>
      <c r="B572" s="41"/>
      <c r="C572" s="20"/>
      <c r="D572" s="41"/>
      <c r="E572" s="20"/>
      <c r="F572" s="41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40"/>
      <c r="B573" s="41"/>
      <c r="C573" s="20"/>
      <c r="D573" s="41"/>
      <c r="E573" s="20"/>
      <c r="F573" s="41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40"/>
      <c r="B574" s="41"/>
      <c r="C574" s="20"/>
      <c r="D574" s="41"/>
      <c r="E574" s="20"/>
      <c r="F574" s="41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40"/>
      <c r="B575" s="41"/>
      <c r="C575" s="20"/>
      <c r="D575" s="41"/>
      <c r="E575" s="20"/>
      <c r="F575" s="41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40"/>
      <c r="B576" s="41"/>
      <c r="C576" s="20"/>
      <c r="D576" s="41"/>
      <c r="E576" s="20"/>
      <c r="F576" s="41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40"/>
      <c r="B577" s="41"/>
      <c r="C577" s="20"/>
      <c r="D577" s="41"/>
      <c r="E577" s="20"/>
      <c r="F577" s="41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40"/>
      <c r="B578" s="41"/>
      <c r="C578" s="20"/>
      <c r="D578" s="41"/>
      <c r="E578" s="20"/>
      <c r="F578" s="41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40"/>
      <c r="B579" s="41"/>
      <c r="C579" s="20"/>
      <c r="D579" s="41"/>
      <c r="E579" s="20"/>
      <c r="F579" s="41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40"/>
      <c r="B580" s="41"/>
      <c r="C580" s="20"/>
      <c r="D580" s="41"/>
      <c r="E580" s="20"/>
      <c r="F580" s="41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40"/>
      <c r="B581" s="41"/>
      <c r="C581" s="20"/>
      <c r="D581" s="41"/>
      <c r="E581" s="20"/>
      <c r="F581" s="41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40"/>
      <c r="B582" s="41"/>
      <c r="C582" s="20"/>
      <c r="D582" s="41"/>
      <c r="E582" s="20"/>
      <c r="F582" s="41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40"/>
      <c r="B583" s="41"/>
      <c r="C583" s="20"/>
      <c r="D583" s="41"/>
      <c r="E583" s="20"/>
      <c r="F583" s="41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40"/>
      <c r="B584" s="41"/>
      <c r="C584" s="20"/>
      <c r="D584" s="41"/>
      <c r="E584" s="20"/>
      <c r="F584" s="41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40"/>
      <c r="B585" s="41"/>
      <c r="C585" s="20"/>
      <c r="D585" s="41"/>
      <c r="E585" s="20"/>
      <c r="F585" s="41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40"/>
      <c r="B586" s="41"/>
      <c r="C586" s="20"/>
      <c r="D586" s="41"/>
      <c r="E586" s="20"/>
      <c r="F586" s="41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40"/>
      <c r="B587" s="41"/>
      <c r="C587" s="20"/>
      <c r="D587" s="41"/>
      <c r="E587" s="20"/>
      <c r="F587" s="41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40"/>
      <c r="B588" s="41"/>
      <c r="C588" s="20"/>
      <c r="D588" s="41"/>
      <c r="E588" s="20"/>
      <c r="F588" s="41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40"/>
      <c r="B589" s="41"/>
      <c r="C589" s="20"/>
      <c r="D589" s="41"/>
      <c r="E589" s="20"/>
      <c r="F589" s="41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40"/>
      <c r="B590" s="41"/>
      <c r="C590" s="20"/>
      <c r="D590" s="41"/>
      <c r="E590" s="20"/>
      <c r="F590" s="41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40"/>
      <c r="B591" s="41"/>
      <c r="C591" s="20"/>
      <c r="D591" s="41"/>
      <c r="E591" s="20"/>
      <c r="F591" s="41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40"/>
      <c r="B592" s="41"/>
      <c r="C592" s="20"/>
      <c r="D592" s="41"/>
      <c r="E592" s="20"/>
      <c r="F592" s="41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40"/>
      <c r="B593" s="41"/>
      <c r="C593" s="20"/>
      <c r="D593" s="41"/>
      <c r="E593" s="20"/>
      <c r="F593" s="41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40"/>
      <c r="B594" s="41"/>
      <c r="C594" s="20"/>
      <c r="D594" s="41"/>
      <c r="E594" s="20"/>
      <c r="F594" s="41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40"/>
      <c r="B595" s="41"/>
      <c r="C595" s="20"/>
      <c r="D595" s="41"/>
      <c r="E595" s="20"/>
      <c r="F595" s="41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40"/>
      <c r="B596" s="41"/>
      <c r="C596" s="20"/>
      <c r="D596" s="41"/>
      <c r="E596" s="20"/>
      <c r="F596" s="41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40"/>
      <c r="B597" s="41"/>
      <c r="C597" s="20"/>
      <c r="D597" s="41"/>
      <c r="E597" s="20"/>
      <c r="F597" s="41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40"/>
      <c r="B598" s="41"/>
      <c r="C598" s="20"/>
      <c r="D598" s="41"/>
      <c r="E598" s="20"/>
      <c r="F598" s="41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40"/>
      <c r="B599" s="41"/>
      <c r="C599" s="20"/>
      <c r="D599" s="41"/>
      <c r="E599" s="20"/>
      <c r="F599" s="41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40"/>
      <c r="B600" s="41"/>
      <c r="C600" s="20"/>
      <c r="D600" s="41"/>
      <c r="E600" s="20"/>
      <c r="F600" s="41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40"/>
      <c r="B601" s="41"/>
      <c r="C601" s="20"/>
      <c r="D601" s="41"/>
      <c r="E601" s="20"/>
      <c r="F601" s="41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40"/>
      <c r="B602" s="41"/>
      <c r="C602" s="20"/>
      <c r="D602" s="41"/>
      <c r="E602" s="20"/>
      <c r="F602" s="41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40"/>
      <c r="B603" s="41"/>
      <c r="C603" s="20"/>
      <c r="D603" s="41"/>
      <c r="E603" s="20"/>
      <c r="F603" s="41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40"/>
      <c r="B604" s="41"/>
      <c r="C604" s="20"/>
      <c r="D604" s="41"/>
      <c r="E604" s="20"/>
      <c r="F604" s="41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40"/>
      <c r="B605" s="41"/>
      <c r="C605" s="20"/>
      <c r="D605" s="41"/>
      <c r="E605" s="20"/>
      <c r="F605" s="41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40"/>
      <c r="B606" s="41"/>
      <c r="C606" s="20"/>
      <c r="D606" s="41"/>
      <c r="E606" s="20"/>
      <c r="F606" s="41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40"/>
      <c r="B607" s="41"/>
      <c r="C607" s="20"/>
      <c r="D607" s="41"/>
      <c r="E607" s="20"/>
      <c r="F607" s="41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40"/>
      <c r="B608" s="41"/>
      <c r="C608" s="20"/>
      <c r="D608" s="41"/>
      <c r="E608" s="20"/>
      <c r="F608" s="41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40"/>
      <c r="B609" s="41"/>
      <c r="C609" s="20"/>
      <c r="D609" s="41"/>
      <c r="E609" s="20"/>
      <c r="F609" s="41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40"/>
      <c r="B610" s="41"/>
      <c r="C610" s="20"/>
      <c r="D610" s="41"/>
      <c r="E610" s="20"/>
      <c r="F610" s="41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40"/>
      <c r="B611" s="41"/>
      <c r="C611" s="20"/>
      <c r="D611" s="41"/>
      <c r="E611" s="20"/>
      <c r="F611" s="41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40"/>
      <c r="B612" s="41"/>
      <c r="C612" s="20"/>
      <c r="D612" s="41"/>
      <c r="E612" s="20"/>
      <c r="F612" s="41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40"/>
      <c r="B613" s="41"/>
      <c r="C613" s="20"/>
      <c r="D613" s="41"/>
      <c r="E613" s="20"/>
      <c r="F613" s="41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40"/>
      <c r="B614" s="41"/>
      <c r="C614" s="20"/>
      <c r="D614" s="41"/>
      <c r="E614" s="20"/>
      <c r="F614" s="41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40"/>
      <c r="B615" s="41"/>
      <c r="C615" s="20"/>
      <c r="D615" s="41"/>
      <c r="E615" s="20"/>
      <c r="F615" s="41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40"/>
      <c r="B616" s="41"/>
      <c r="C616" s="20"/>
      <c r="D616" s="41"/>
      <c r="E616" s="20"/>
      <c r="F616" s="41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40"/>
      <c r="B617" s="41"/>
      <c r="C617" s="20"/>
      <c r="D617" s="41"/>
      <c r="E617" s="20"/>
      <c r="F617" s="41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40"/>
      <c r="B618" s="41"/>
      <c r="C618" s="20"/>
      <c r="D618" s="41"/>
      <c r="E618" s="20"/>
      <c r="F618" s="41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40"/>
      <c r="B619" s="41"/>
      <c r="C619" s="20"/>
      <c r="D619" s="41"/>
      <c r="E619" s="20"/>
      <c r="F619" s="41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40"/>
      <c r="B620" s="41"/>
      <c r="C620" s="20"/>
      <c r="D620" s="41"/>
      <c r="E620" s="20"/>
      <c r="F620" s="41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40"/>
      <c r="B621" s="41"/>
      <c r="C621" s="20"/>
      <c r="D621" s="41"/>
      <c r="E621" s="20"/>
      <c r="F621" s="41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40"/>
      <c r="B622" s="41"/>
      <c r="C622" s="20"/>
      <c r="D622" s="41"/>
      <c r="E622" s="20"/>
      <c r="F622" s="41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40"/>
      <c r="B623" s="41"/>
      <c r="C623" s="20"/>
      <c r="D623" s="41"/>
      <c r="E623" s="20"/>
      <c r="F623" s="41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40"/>
      <c r="B624" s="41"/>
      <c r="C624" s="20"/>
      <c r="D624" s="41"/>
      <c r="E624" s="20"/>
      <c r="F624" s="41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40"/>
      <c r="B625" s="41"/>
      <c r="C625" s="20"/>
      <c r="D625" s="41"/>
      <c r="E625" s="20"/>
      <c r="F625" s="41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40"/>
      <c r="B626" s="41"/>
      <c r="C626" s="20"/>
      <c r="D626" s="41"/>
      <c r="E626" s="20"/>
      <c r="F626" s="41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40"/>
      <c r="B627" s="41"/>
      <c r="C627" s="20"/>
      <c r="D627" s="41"/>
      <c r="E627" s="20"/>
      <c r="F627" s="41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40"/>
      <c r="B628" s="41"/>
      <c r="C628" s="20"/>
      <c r="D628" s="41"/>
      <c r="E628" s="20"/>
      <c r="F628" s="41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40"/>
      <c r="B629" s="41"/>
      <c r="C629" s="20"/>
      <c r="D629" s="41"/>
      <c r="E629" s="20"/>
      <c r="F629" s="41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40"/>
      <c r="B630" s="41"/>
      <c r="C630" s="20"/>
      <c r="D630" s="41"/>
      <c r="E630" s="20"/>
      <c r="F630" s="41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40"/>
      <c r="B631" s="41"/>
      <c r="C631" s="20"/>
      <c r="D631" s="41"/>
      <c r="E631" s="20"/>
      <c r="F631" s="41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40"/>
      <c r="B632" s="41"/>
      <c r="C632" s="20"/>
      <c r="D632" s="41"/>
      <c r="E632" s="20"/>
      <c r="F632" s="41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40"/>
      <c r="B633" s="41"/>
      <c r="C633" s="20"/>
      <c r="D633" s="41"/>
      <c r="E633" s="20"/>
      <c r="F633" s="41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40"/>
      <c r="B634" s="41"/>
      <c r="C634" s="20"/>
      <c r="D634" s="41"/>
      <c r="E634" s="20"/>
      <c r="F634" s="41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40"/>
      <c r="B635" s="41"/>
      <c r="C635" s="20"/>
      <c r="D635" s="41"/>
      <c r="E635" s="20"/>
      <c r="F635" s="41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40"/>
      <c r="B636" s="41"/>
      <c r="C636" s="20"/>
      <c r="D636" s="41"/>
      <c r="E636" s="20"/>
      <c r="F636" s="41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40"/>
      <c r="B637" s="41"/>
      <c r="C637" s="20"/>
      <c r="D637" s="41"/>
      <c r="E637" s="20"/>
      <c r="F637" s="41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40"/>
      <c r="B638" s="41"/>
      <c r="C638" s="20"/>
      <c r="D638" s="41"/>
      <c r="E638" s="20"/>
      <c r="F638" s="41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40"/>
      <c r="B639" s="41"/>
      <c r="C639" s="20"/>
      <c r="D639" s="41"/>
      <c r="E639" s="20"/>
      <c r="F639" s="41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40"/>
      <c r="B640" s="41"/>
      <c r="C640" s="20"/>
      <c r="D640" s="41"/>
      <c r="E640" s="20"/>
      <c r="F640" s="41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40"/>
      <c r="B641" s="41"/>
      <c r="C641" s="20"/>
      <c r="D641" s="41"/>
      <c r="E641" s="20"/>
      <c r="F641" s="41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40"/>
      <c r="B642" s="41"/>
      <c r="C642" s="20"/>
      <c r="D642" s="41"/>
      <c r="E642" s="20"/>
      <c r="F642" s="41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40"/>
      <c r="B643" s="41"/>
      <c r="C643" s="20"/>
      <c r="D643" s="41"/>
      <c r="E643" s="20"/>
      <c r="F643" s="41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40"/>
      <c r="B644" s="41"/>
      <c r="C644" s="20"/>
      <c r="D644" s="41"/>
      <c r="E644" s="20"/>
      <c r="F644" s="41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40"/>
      <c r="B645" s="41"/>
      <c r="C645" s="20"/>
      <c r="D645" s="41"/>
      <c r="E645" s="20"/>
      <c r="F645" s="41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40"/>
      <c r="B646" s="41"/>
      <c r="C646" s="20"/>
      <c r="D646" s="41"/>
      <c r="E646" s="20"/>
      <c r="F646" s="41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40"/>
      <c r="B647" s="41"/>
      <c r="C647" s="20"/>
      <c r="D647" s="41"/>
      <c r="E647" s="20"/>
      <c r="F647" s="41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40"/>
      <c r="B648" s="41"/>
      <c r="C648" s="20"/>
      <c r="D648" s="41"/>
      <c r="E648" s="20"/>
      <c r="F648" s="41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40"/>
      <c r="B649" s="41"/>
      <c r="C649" s="20"/>
      <c r="D649" s="41"/>
      <c r="E649" s="20"/>
      <c r="F649" s="41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40"/>
      <c r="B650" s="41"/>
      <c r="C650" s="20"/>
      <c r="D650" s="41"/>
      <c r="E650" s="20"/>
      <c r="F650" s="41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40"/>
      <c r="B651" s="41"/>
      <c r="C651" s="20"/>
      <c r="D651" s="41"/>
      <c r="E651" s="20"/>
      <c r="F651" s="41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40"/>
      <c r="B652" s="41"/>
      <c r="C652" s="20"/>
      <c r="D652" s="41"/>
      <c r="E652" s="20"/>
      <c r="F652" s="41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40"/>
      <c r="B653" s="41"/>
      <c r="C653" s="20"/>
      <c r="D653" s="41"/>
      <c r="E653" s="20"/>
      <c r="F653" s="41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40"/>
      <c r="B654" s="41"/>
      <c r="C654" s="20"/>
      <c r="D654" s="41"/>
      <c r="E654" s="20"/>
      <c r="F654" s="41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40"/>
      <c r="B655" s="41"/>
      <c r="C655" s="20"/>
      <c r="D655" s="41"/>
      <c r="E655" s="20"/>
      <c r="F655" s="41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40"/>
      <c r="B656" s="41"/>
      <c r="C656" s="20"/>
      <c r="D656" s="41"/>
      <c r="E656" s="20"/>
      <c r="F656" s="41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40"/>
      <c r="B657" s="41"/>
      <c r="C657" s="20"/>
      <c r="D657" s="41"/>
      <c r="E657" s="20"/>
      <c r="F657" s="41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40"/>
      <c r="B658" s="41"/>
      <c r="C658" s="20"/>
      <c r="D658" s="41"/>
      <c r="E658" s="20"/>
      <c r="F658" s="41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40"/>
      <c r="B659" s="41"/>
      <c r="C659" s="20"/>
      <c r="D659" s="41"/>
      <c r="E659" s="20"/>
      <c r="F659" s="41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40"/>
      <c r="B660" s="41"/>
      <c r="C660" s="20"/>
      <c r="D660" s="41"/>
      <c r="E660" s="20"/>
      <c r="F660" s="41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40"/>
      <c r="B661" s="41"/>
      <c r="C661" s="20"/>
      <c r="D661" s="41"/>
      <c r="E661" s="20"/>
      <c r="F661" s="41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40"/>
      <c r="B662" s="41"/>
      <c r="C662" s="20"/>
      <c r="D662" s="41"/>
      <c r="E662" s="20"/>
      <c r="F662" s="41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40"/>
      <c r="B663" s="41"/>
      <c r="C663" s="20"/>
      <c r="D663" s="41"/>
      <c r="E663" s="20"/>
      <c r="F663" s="41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40"/>
      <c r="B664" s="41"/>
      <c r="C664" s="20"/>
      <c r="D664" s="41"/>
      <c r="E664" s="20"/>
      <c r="F664" s="41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40"/>
      <c r="B665" s="41"/>
      <c r="C665" s="20"/>
      <c r="D665" s="41"/>
      <c r="E665" s="20"/>
      <c r="F665" s="41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40"/>
      <c r="B666" s="41"/>
      <c r="C666" s="20"/>
      <c r="D666" s="41"/>
      <c r="E666" s="20"/>
      <c r="F666" s="41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40"/>
      <c r="B667" s="41"/>
      <c r="C667" s="20"/>
      <c r="D667" s="41"/>
      <c r="E667" s="20"/>
      <c r="F667" s="41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40"/>
      <c r="B668" s="41"/>
      <c r="C668" s="20"/>
      <c r="D668" s="41"/>
      <c r="E668" s="20"/>
      <c r="F668" s="41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40"/>
      <c r="B669" s="41"/>
      <c r="C669" s="20"/>
      <c r="D669" s="41"/>
      <c r="E669" s="20"/>
      <c r="F669" s="41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40"/>
      <c r="B670" s="41"/>
      <c r="C670" s="20"/>
      <c r="D670" s="41"/>
      <c r="E670" s="20"/>
      <c r="F670" s="41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40"/>
      <c r="B671" s="41"/>
      <c r="C671" s="20"/>
      <c r="D671" s="41"/>
      <c r="E671" s="20"/>
      <c r="F671" s="41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40"/>
      <c r="B672" s="41"/>
      <c r="C672" s="20"/>
      <c r="D672" s="41"/>
      <c r="E672" s="20"/>
      <c r="F672" s="41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40"/>
      <c r="B673" s="41"/>
      <c r="C673" s="20"/>
      <c r="D673" s="41"/>
      <c r="E673" s="20"/>
      <c r="F673" s="41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40"/>
      <c r="B674" s="41"/>
      <c r="C674" s="20"/>
      <c r="D674" s="41"/>
      <c r="E674" s="20"/>
      <c r="F674" s="41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40"/>
      <c r="B675" s="41"/>
      <c r="C675" s="20"/>
      <c r="D675" s="41"/>
      <c r="E675" s="20"/>
      <c r="F675" s="41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40"/>
      <c r="B676" s="41"/>
      <c r="C676" s="20"/>
      <c r="D676" s="41"/>
      <c r="E676" s="20"/>
      <c r="F676" s="41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40"/>
      <c r="B677" s="41"/>
      <c r="C677" s="20"/>
      <c r="D677" s="41"/>
      <c r="E677" s="20"/>
      <c r="F677" s="41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40"/>
      <c r="B678" s="41"/>
      <c r="C678" s="20"/>
      <c r="D678" s="41"/>
      <c r="E678" s="20"/>
      <c r="F678" s="41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40"/>
      <c r="B679" s="41"/>
      <c r="C679" s="20"/>
      <c r="D679" s="41"/>
      <c r="E679" s="20"/>
      <c r="F679" s="41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40"/>
      <c r="B680" s="41"/>
      <c r="C680" s="20"/>
      <c r="D680" s="41"/>
      <c r="E680" s="20"/>
      <c r="F680" s="41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40"/>
      <c r="B681" s="41"/>
      <c r="C681" s="20"/>
      <c r="D681" s="41"/>
      <c r="E681" s="20"/>
      <c r="F681" s="41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40"/>
      <c r="B682" s="41"/>
      <c r="C682" s="20"/>
      <c r="D682" s="41"/>
      <c r="E682" s="20"/>
      <c r="F682" s="41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40"/>
      <c r="B683" s="41"/>
      <c r="C683" s="20"/>
      <c r="D683" s="41"/>
      <c r="E683" s="20"/>
      <c r="F683" s="41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40"/>
      <c r="B684" s="41"/>
      <c r="C684" s="20"/>
      <c r="D684" s="41"/>
      <c r="E684" s="20"/>
      <c r="F684" s="41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40"/>
      <c r="B685" s="41"/>
      <c r="C685" s="20"/>
      <c r="D685" s="41"/>
      <c r="E685" s="20"/>
      <c r="F685" s="41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40"/>
      <c r="B686" s="41"/>
      <c r="C686" s="20"/>
      <c r="D686" s="41"/>
      <c r="E686" s="20"/>
      <c r="F686" s="41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40"/>
      <c r="B687" s="41"/>
      <c r="C687" s="20"/>
      <c r="D687" s="41"/>
      <c r="E687" s="20"/>
      <c r="F687" s="41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40"/>
      <c r="B688" s="41"/>
      <c r="C688" s="20"/>
      <c r="D688" s="41"/>
      <c r="E688" s="20"/>
      <c r="F688" s="41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40"/>
      <c r="B689" s="41"/>
      <c r="C689" s="20"/>
      <c r="D689" s="41"/>
      <c r="E689" s="20"/>
      <c r="F689" s="41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40"/>
      <c r="B690" s="41"/>
      <c r="C690" s="20"/>
      <c r="D690" s="41"/>
      <c r="E690" s="20"/>
      <c r="F690" s="41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40"/>
      <c r="B691" s="41"/>
      <c r="C691" s="20"/>
      <c r="D691" s="41"/>
      <c r="E691" s="20"/>
      <c r="F691" s="41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40"/>
      <c r="B692" s="41"/>
      <c r="C692" s="20"/>
      <c r="D692" s="41"/>
      <c r="E692" s="20"/>
      <c r="F692" s="41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40"/>
      <c r="B693" s="41"/>
      <c r="C693" s="20"/>
      <c r="D693" s="41"/>
      <c r="E693" s="20"/>
      <c r="F693" s="41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40"/>
      <c r="B694" s="41"/>
      <c r="C694" s="20"/>
      <c r="D694" s="41"/>
      <c r="E694" s="20"/>
      <c r="F694" s="41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40"/>
      <c r="B695" s="41"/>
      <c r="C695" s="20"/>
      <c r="D695" s="41"/>
      <c r="E695" s="20"/>
      <c r="F695" s="41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40"/>
      <c r="B696" s="41"/>
      <c r="C696" s="20"/>
      <c r="D696" s="41"/>
      <c r="E696" s="20"/>
      <c r="F696" s="41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40"/>
      <c r="B697" s="41"/>
      <c r="C697" s="20"/>
      <c r="D697" s="41"/>
      <c r="E697" s="20"/>
      <c r="F697" s="41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40"/>
      <c r="B698" s="41"/>
      <c r="C698" s="20"/>
      <c r="D698" s="41"/>
      <c r="E698" s="20"/>
      <c r="F698" s="41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40"/>
      <c r="B699" s="41"/>
      <c r="C699" s="20"/>
      <c r="D699" s="41"/>
      <c r="E699" s="20"/>
      <c r="F699" s="41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40"/>
      <c r="B700" s="41"/>
      <c r="C700" s="20"/>
      <c r="D700" s="41"/>
      <c r="E700" s="20"/>
      <c r="F700" s="41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40"/>
      <c r="B701" s="41"/>
      <c r="C701" s="20"/>
      <c r="D701" s="41"/>
      <c r="E701" s="20"/>
      <c r="F701" s="41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40"/>
      <c r="B702" s="41"/>
      <c r="C702" s="20"/>
      <c r="D702" s="41"/>
      <c r="E702" s="20"/>
      <c r="F702" s="41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40"/>
      <c r="B703" s="41"/>
      <c r="C703" s="20"/>
      <c r="D703" s="41"/>
      <c r="E703" s="20"/>
      <c r="F703" s="41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40"/>
      <c r="B704" s="41"/>
      <c r="C704" s="20"/>
      <c r="D704" s="41"/>
      <c r="E704" s="20"/>
      <c r="F704" s="41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40"/>
      <c r="B705" s="41"/>
      <c r="C705" s="20"/>
      <c r="D705" s="41"/>
      <c r="E705" s="20"/>
      <c r="F705" s="41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40"/>
      <c r="B706" s="41"/>
      <c r="C706" s="20"/>
      <c r="D706" s="41"/>
      <c r="E706" s="20"/>
      <c r="F706" s="41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40"/>
      <c r="B707" s="41"/>
      <c r="C707" s="20"/>
      <c r="D707" s="41"/>
      <c r="E707" s="20"/>
      <c r="F707" s="41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40"/>
      <c r="B708" s="41"/>
      <c r="C708" s="20"/>
      <c r="D708" s="41"/>
      <c r="E708" s="20"/>
      <c r="F708" s="41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40"/>
      <c r="B709" s="41"/>
      <c r="C709" s="20"/>
      <c r="D709" s="41"/>
      <c r="E709" s="20"/>
      <c r="F709" s="41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40"/>
      <c r="B710" s="41"/>
      <c r="C710" s="20"/>
      <c r="D710" s="41"/>
      <c r="E710" s="20"/>
      <c r="F710" s="41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40"/>
      <c r="B711" s="41"/>
      <c r="C711" s="20"/>
      <c r="D711" s="41"/>
      <c r="E711" s="20"/>
      <c r="F711" s="41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40"/>
      <c r="B712" s="41"/>
      <c r="C712" s="20"/>
      <c r="D712" s="41"/>
      <c r="E712" s="20"/>
      <c r="F712" s="41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40"/>
      <c r="B713" s="41"/>
      <c r="C713" s="20"/>
      <c r="D713" s="41"/>
      <c r="E713" s="20"/>
      <c r="F713" s="41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40"/>
      <c r="B714" s="41"/>
      <c r="C714" s="20"/>
      <c r="D714" s="41"/>
      <c r="E714" s="20"/>
      <c r="F714" s="41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40"/>
      <c r="B715" s="41"/>
      <c r="C715" s="20"/>
      <c r="D715" s="41"/>
      <c r="E715" s="20"/>
      <c r="F715" s="41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40"/>
      <c r="B716" s="41"/>
      <c r="C716" s="20"/>
      <c r="D716" s="41"/>
      <c r="E716" s="20"/>
      <c r="F716" s="41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40"/>
      <c r="B717" s="41"/>
      <c r="C717" s="20"/>
      <c r="D717" s="41"/>
      <c r="E717" s="20"/>
      <c r="F717" s="41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40"/>
      <c r="B718" s="41"/>
      <c r="C718" s="20"/>
      <c r="D718" s="41"/>
      <c r="E718" s="20"/>
      <c r="F718" s="41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40"/>
      <c r="B719" s="41"/>
      <c r="C719" s="20"/>
      <c r="D719" s="41"/>
      <c r="E719" s="20"/>
      <c r="F719" s="41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40"/>
      <c r="B720" s="41"/>
      <c r="C720" s="20"/>
      <c r="D720" s="41"/>
      <c r="E720" s="20"/>
      <c r="F720" s="41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40"/>
      <c r="B721" s="41"/>
      <c r="C721" s="20"/>
      <c r="D721" s="41"/>
      <c r="E721" s="20"/>
      <c r="F721" s="41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40"/>
      <c r="B722" s="41"/>
      <c r="C722" s="20"/>
      <c r="D722" s="41"/>
      <c r="E722" s="20"/>
      <c r="F722" s="41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40"/>
      <c r="B723" s="41"/>
      <c r="C723" s="20"/>
      <c r="D723" s="41"/>
      <c r="E723" s="20"/>
      <c r="F723" s="41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40"/>
      <c r="B724" s="41"/>
      <c r="C724" s="20"/>
      <c r="D724" s="41"/>
      <c r="E724" s="20"/>
      <c r="F724" s="41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40"/>
      <c r="B725" s="41"/>
      <c r="C725" s="20"/>
      <c r="D725" s="41"/>
      <c r="E725" s="20"/>
      <c r="F725" s="41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40"/>
      <c r="B726" s="41"/>
      <c r="C726" s="20"/>
      <c r="D726" s="41"/>
      <c r="E726" s="20"/>
      <c r="F726" s="41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40"/>
      <c r="B727" s="41"/>
      <c r="C727" s="20"/>
      <c r="D727" s="41"/>
      <c r="E727" s="20"/>
      <c r="F727" s="41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40"/>
      <c r="B728" s="41"/>
      <c r="C728" s="20"/>
      <c r="D728" s="41"/>
      <c r="E728" s="20"/>
      <c r="F728" s="41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40"/>
      <c r="B729" s="41"/>
      <c r="C729" s="20"/>
      <c r="D729" s="41"/>
      <c r="E729" s="20"/>
      <c r="F729" s="41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40"/>
      <c r="B730" s="41"/>
      <c r="C730" s="20"/>
      <c r="D730" s="41"/>
      <c r="E730" s="20"/>
      <c r="F730" s="41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40"/>
      <c r="B731" s="41"/>
      <c r="C731" s="20"/>
      <c r="D731" s="41"/>
      <c r="E731" s="20"/>
      <c r="F731" s="41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40"/>
      <c r="B732" s="41"/>
      <c r="C732" s="20"/>
      <c r="D732" s="41"/>
      <c r="E732" s="20"/>
      <c r="F732" s="41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40"/>
      <c r="B733" s="41"/>
      <c r="C733" s="20"/>
      <c r="D733" s="41"/>
      <c r="E733" s="20"/>
      <c r="F733" s="41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40"/>
      <c r="B734" s="41"/>
      <c r="C734" s="20"/>
      <c r="D734" s="41"/>
      <c r="E734" s="20"/>
      <c r="F734" s="41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40"/>
      <c r="B735" s="41"/>
      <c r="C735" s="20"/>
      <c r="D735" s="41"/>
      <c r="E735" s="20"/>
      <c r="F735" s="41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40"/>
      <c r="B736" s="41"/>
      <c r="C736" s="20"/>
      <c r="D736" s="41"/>
      <c r="E736" s="20"/>
      <c r="F736" s="41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40"/>
      <c r="B737" s="41"/>
      <c r="C737" s="20"/>
      <c r="D737" s="41"/>
      <c r="E737" s="20"/>
      <c r="F737" s="41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40"/>
      <c r="B738" s="41"/>
      <c r="C738" s="20"/>
      <c r="D738" s="41"/>
      <c r="E738" s="20"/>
      <c r="F738" s="41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40"/>
      <c r="B739" s="41"/>
      <c r="C739" s="20"/>
      <c r="D739" s="41"/>
      <c r="E739" s="20"/>
      <c r="F739" s="41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40"/>
      <c r="B740" s="41"/>
      <c r="C740" s="20"/>
      <c r="D740" s="41"/>
      <c r="E740" s="20"/>
      <c r="F740" s="41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40"/>
      <c r="B741" s="41"/>
      <c r="C741" s="20"/>
      <c r="D741" s="41"/>
      <c r="E741" s="20"/>
      <c r="F741" s="41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40"/>
      <c r="B742" s="41"/>
      <c r="C742" s="20"/>
      <c r="D742" s="41"/>
      <c r="E742" s="20"/>
      <c r="F742" s="41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40"/>
      <c r="B743" s="41"/>
      <c r="C743" s="20"/>
      <c r="D743" s="41"/>
      <c r="E743" s="20"/>
      <c r="F743" s="41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40"/>
      <c r="B744" s="41"/>
      <c r="C744" s="20"/>
      <c r="D744" s="41"/>
      <c r="E744" s="20"/>
      <c r="F744" s="41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40"/>
      <c r="B745" s="41"/>
      <c r="C745" s="20"/>
      <c r="D745" s="41"/>
      <c r="E745" s="20"/>
      <c r="F745" s="41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40"/>
      <c r="B746" s="41"/>
      <c r="C746" s="20"/>
      <c r="D746" s="41"/>
      <c r="E746" s="20"/>
      <c r="F746" s="41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40"/>
      <c r="B747" s="41"/>
      <c r="C747" s="20"/>
      <c r="D747" s="41"/>
      <c r="E747" s="20"/>
      <c r="F747" s="41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40"/>
      <c r="B748" s="41"/>
      <c r="C748" s="20"/>
      <c r="D748" s="41"/>
      <c r="E748" s="20"/>
      <c r="F748" s="41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40"/>
      <c r="B749" s="41"/>
      <c r="C749" s="20"/>
      <c r="D749" s="41"/>
      <c r="E749" s="20"/>
      <c r="F749" s="41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40"/>
      <c r="B750" s="41"/>
      <c r="C750" s="20"/>
      <c r="D750" s="41"/>
      <c r="E750" s="20"/>
      <c r="F750" s="41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40"/>
      <c r="B751" s="41"/>
      <c r="C751" s="20"/>
      <c r="D751" s="41"/>
      <c r="E751" s="20"/>
      <c r="F751" s="41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40"/>
      <c r="B752" s="41"/>
      <c r="C752" s="20"/>
      <c r="D752" s="41"/>
      <c r="E752" s="20"/>
      <c r="F752" s="41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40"/>
      <c r="B753" s="41"/>
      <c r="C753" s="20"/>
      <c r="D753" s="41"/>
      <c r="E753" s="20"/>
      <c r="F753" s="41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40"/>
      <c r="B754" s="41"/>
      <c r="C754" s="20"/>
      <c r="D754" s="41"/>
      <c r="E754" s="20"/>
      <c r="F754" s="41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40"/>
      <c r="B755" s="41"/>
      <c r="C755" s="20"/>
      <c r="D755" s="41"/>
      <c r="E755" s="20"/>
      <c r="F755" s="41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40"/>
      <c r="B756" s="41"/>
      <c r="C756" s="20"/>
      <c r="D756" s="41"/>
      <c r="E756" s="20"/>
      <c r="F756" s="41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40"/>
      <c r="B757" s="41"/>
      <c r="C757" s="20"/>
      <c r="D757" s="41"/>
      <c r="E757" s="20"/>
      <c r="F757" s="41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40"/>
      <c r="B758" s="41"/>
      <c r="C758" s="20"/>
      <c r="D758" s="41"/>
      <c r="E758" s="20"/>
      <c r="F758" s="41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40"/>
      <c r="B759" s="41"/>
      <c r="C759" s="20"/>
      <c r="D759" s="41"/>
      <c r="E759" s="20"/>
      <c r="F759" s="41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40"/>
      <c r="B760" s="41"/>
      <c r="C760" s="20"/>
      <c r="D760" s="41"/>
      <c r="E760" s="20"/>
      <c r="F760" s="41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40"/>
      <c r="B761" s="41"/>
      <c r="C761" s="20"/>
      <c r="D761" s="41"/>
      <c r="E761" s="20"/>
      <c r="F761" s="41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40"/>
      <c r="B762" s="41"/>
      <c r="C762" s="20"/>
      <c r="D762" s="41"/>
      <c r="E762" s="20"/>
      <c r="F762" s="41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40"/>
      <c r="B763" s="41"/>
      <c r="C763" s="20"/>
      <c r="D763" s="41"/>
      <c r="E763" s="20"/>
      <c r="F763" s="41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40"/>
      <c r="B764" s="41"/>
      <c r="C764" s="20"/>
      <c r="D764" s="41"/>
      <c r="E764" s="20"/>
      <c r="F764" s="41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40"/>
      <c r="B765" s="41"/>
      <c r="C765" s="20"/>
      <c r="D765" s="41"/>
      <c r="E765" s="20"/>
      <c r="F765" s="41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40"/>
      <c r="B766" s="41"/>
      <c r="C766" s="20"/>
      <c r="D766" s="41"/>
      <c r="E766" s="20"/>
      <c r="F766" s="41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40"/>
      <c r="B767" s="41"/>
      <c r="C767" s="20"/>
      <c r="D767" s="41"/>
      <c r="E767" s="20"/>
      <c r="F767" s="41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40"/>
      <c r="B768" s="41"/>
      <c r="C768" s="20"/>
      <c r="D768" s="41"/>
      <c r="E768" s="20"/>
      <c r="F768" s="41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40"/>
      <c r="B769" s="41"/>
      <c r="C769" s="20"/>
      <c r="D769" s="41"/>
      <c r="E769" s="20"/>
      <c r="F769" s="41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40"/>
      <c r="B770" s="41"/>
      <c r="C770" s="20"/>
      <c r="D770" s="41"/>
      <c r="E770" s="20"/>
      <c r="F770" s="41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40"/>
      <c r="B771" s="41"/>
      <c r="C771" s="20"/>
      <c r="D771" s="41"/>
      <c r="E771" s="20"/>
      <c r="F771" s="41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40"/>
      <c r="B772" s="41"/>
      <c r="C772" s="20"/>
      <c r="D772" s="41"/>
      <c r="E772" s="20"/>
      <c r="F772" s="41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40"/>
      <c r="B773" s="41"/>
      <c r="C773" s="20"/>
      <c r="D773" s="41"/>
      <c r="E773" s="20"/>
      <c r="F773" s="41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40"/>
      <c r="B774" s="41"/>
      <c r="C774" s="20"/>
      <c r="D774" s="41"/>
      <c r="E774" s="20"/>
      <c r="F774" s="41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40"/>
      <c r="B775" s="41"/>
      <c r="C775" s="20"/>
      <c r="D775" s="41"/>
      <c r="E775" s="20"/>
      <c r="F775" s="41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40"/>
      <c r="B776" s="41"/>
      <c r="C776" s="20"/>
      <c r="D776" s="41"/>
      <c r="E776" s="20"/>
      <c r="F776" s="41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40"/>
      <c r="B777" s="41"/>
      <c r="C777" s="20"/>
      <c r="D777" s="41"/>
      <c r="E777" s="20"/>
      <c r="F777" s="41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40"/>
      <c r="B778" s="41"/>
      <c r="C778" s="20"/>
      <c r="D778" s="41"/>
      <c r="E778" s="20"/>
      <c r="F778" s="41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40"/>
      <c r="B779" s="41"/>
      <c r="C779" s="20"/>
      <c r="D779" s="41"/>
      <c r="E779" s="20"/>
      <c r="F779" s="41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40"/>
      <c r="B780" s="41"/>
      <c r="C780" s="20"/>
      <c r="D780" s="41"/>
      <c r="E780" s="20"/>
      <c r="F780" s="41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40"/>
      <c r="B781" s="41"/>
      <c r="C781" s="20"/>
      <c r="D781" s="41"/>
      <c r="E781" s="20"/>
      <c r="F781" s="41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40"/>
      <c r="B782" s="41"/>
      <c r="C782" s="20"/>
      <c r="D782" s="41"/>
      <c r="E782" s="20"/>
      <c r="F782" s="41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40"/>
      <c r="B783" s="41"/>
      <c r="C783" s="20"/>
      <c r="D783" s="41"/>
      <c r="E783" s="20"/>
      <c r="F783" s="41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40"/>
      <c r="B784" s="41"/>
      <c r="C784" s="20"/>
      <c r="D784" s="41"/>
      <c r="E784" s="20"/>
      <c r="F784" s="41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40"/>
      <c r="B785" s="41"/>
      <c r="C785" s="20"/>
      <c r="D785" s="41"/>
      <c r="E785" s="20"/>
      <c r="F785" s="41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40"/>
      <c r="B786" s="41"/>
      <c r="C786" s="20"/>
      <c r="D786" s="41"/>
      <c r="E786" s="20"/>
      <c r="F786" s="41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40"/>
      <c r="B787" s="41"/>
      <c r="C787" s="20"/>
      <c r="D787" s="41"/>
      <c r="E787" s="20"/>
      <c r="F787" s="41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40"/>
      <c r="B788" s="41"/>
      <c r="C788" s="20"/>
      <c r="D788" s="41"/>
      <c r="E788" s="20"/>
      <c r="F788" s="41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40"/>
      <c r="B789" s="41"/>
      <c r="C789" s="20"/>
      <c r="D789" s="41"/>
      <c r="E789" s="20"/>
      <c r="F789" s="41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40"/>
      <c r="B790" s="41"/>
      <c r="C790" s="20"/>
      <c r="D790" s="41"/>
      <c r="E790" s="20"/>
      <c r="F790" s="41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40"/>
      <c r="B791" s="41"/>
      <c r="C791" s="20"/>
      <c r="D791" s="41"/>
      <c r="E791" s="20"/>
      <c r="F791" s="41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40"/>
      <c r="B792" s="41"/>
      <c r="C792" s="20"/>
      <c r="D792" s="41"/>
      <c r="E792" s="20"/>
      <c r="F792" s="41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40"/>
      <c r="B793" s="41"/>
      <c r="C793" s="20"/>
      <c r="D793" s="41"/>
      <c r="E793" s="20"/>
      <c r="F793" s="41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40"/>
      <c r="B794" s="41"/>
      <c r="C794" s="20"/>
      <c r="D794" s="41"/>
      <c r="E794" s="20"/>
      <c r="F794" s="41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40"/>
      <c r="B795" s="41"/>
      <c r="C795" s="20"/>
      <c r="D795" s="41"/>
      <c r="E795" s="20"/>
      <c r="F795" s="41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40"/>
      <c r="B796" s="41"/>
      <c r="C796" s="20"/>
      <c r="D796" s="41"/>
      <c r="E796" s="20"/>
      <c r="F796" s="41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40"/>
      <c r="B797" s="41"/>
      <c r="C797" s="20"/>
      <c r="D797" s="41"/>
      <c r="E797" s="20"/>
      <c r="F797" s="41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40"/>
      <c r="B798" s="41"/>
      <c r="C798" s="20"/>
      <c r="D798" s="41"/>
      <c r="E798" s="20"/>
      <c r="F798" s="41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40"/>
      <c r="B799" s="41"/>
      <c r="C799" s="20"/>
      <c r="D799" s="41"/>
      <c r="E799" s="20"/>
      <c r="F799" s="41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40"/>
      <c r="B800" s="41"/>
      <c r="C800" s="20"/>
      <c r="D800" s="41"/>
      <c r="E800" s="20"/>
      <c r="F800" s="41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40"/>
      <c r="B801" s="41"/>
      <c r="C801" s="20"/>
      <c r="D801" s="41"/>
      <c r="E801" s="20"/>
      <c r="F801" s="41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40"/>
      <c r="B802" s="41"/>
      <c r="C802" s="20"/>
      <c r="D802" s="41"/>
      <c r="E802" s="20"/>
      <c r="F802" s="41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40"/>
      <c r="B803" s="41"/>
      <c r="C803" s="20"/>
      <c r="D803" s="41"/>
      <c r="E803" s="20"/>
      <c r="F803" s="41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40"/>
      <c r="B804" s="41"/>
      <c r="C804" s="20"/>
      <c r="D804" s="41"/>
      <c r="E804" s="20"/>
      <c r="F804" s="41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40"/>
      <c r="B805" s="41"/>
      <c r="C805" s="20"/>
      <c r="D805" s="41"/>
      <c r="E805" s="20"/>
      <c r="F805" s="41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40"/>
      <c r="B806" s="41"/>
      <c r="C806" s="20"/>
      <c r="D806" s="41"/>
      <c r="E806" s="20"/>
      <c r="F806" s="41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40"/>
      <c r="B807" s="41"/>
      <c r="C807" s="20"/>
      <c r="D807" s="41"/>
      <c r="E807" s="20"/>
      <c r="F807" s="41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40"/>
      <c r="B808" s="41"/>
      <c r="C808" s="20"/>
      <c r="D808" s="41"/>
      <c r="E808" s="20"/>
      <c r="F808" s="41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40"/>
      <c r="B809" s="41"/>
      <c r="C809" s="20"/>
      <c r="D809" s="41"/>
      <c r="E809" s="20"/>
      <c r="F809" s="41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40"/>
      <c r="B810" s="41"/>
      <c r="C810" s="20"/>
      <c r="D810" s="41"/>
      <c r="E810" s="20"/>
      <c r="F810" s="41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40"/>
      <c r="B811" s="41"/>
      <c r="C811" s="20"/>
      <c r="D811" s="41"/>
      <c r="E811" s="20"/>
      <c r="F811" s="41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40"/>
      <c r="B812" s="41"/>
      <c r="C812" s="20"/>
      <c r="D812" s="41"/>
      <c r="E812" s="20"/>
      <c r="F812" s="41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40"/>
      <c r="B813" s="41"/>
      <c r="C813" s="20"/>
      <c r="D813" s="41"/>
      <c r="E813" s="20"/>
      <c r="F813" s="41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40"/>
      <c r="B814" s="41"/>
      <c r="C814" s="20"/>
      <c r="D814" s="41"/>
      <c r="E814" s="20"/>
      <c r="F814" s="41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40"/>
      <c r="B815" s="41"/>
      <c r="C815" s="20"/>
      <c r="D815" s="41"/>
      <c r="E815" s="20"/>
      <c r="F815" s="41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40"/>
      <c r="B816" s="41"/>
      <c r="C816" s="20"/>
      <c r="D816" s="41"/>
      <c r="E816" s="20"/>
      <c r="F816" s="41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40"/>
      <c r="B817" s="41"/>
      <c r="C817" s="20"/>
      <c r="D817" s="41"/>
      <c r="E817" s="20"/>
      <c r="F817" s="41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40"/>
      <c r="B818" s="41"/>
      <c r="C818" s="20"/>
      <c r="D818" s="41"/>
      <c r="E818" s="20"/>
      <c r="F818" s="41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40"/>
      <c r="B819" s="41"/>
      <c r="C819" s="20"/>
      <c r="D819" s="41"/>
      <c r="E819" s="20"/>
      <c r="F819" s="41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40"/>
      <c r="B820" s="41"/>
      <c r="C820" s="20"/>
      <c r="D820" s="41"/>
      <c r="E820" s="20"/>
      <c r="F820" s="41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40"/>
      <c r="B821" s="41"/>
      <c r="C821" s="20"/>
      <c r="D821" s="41"/>
      <c r="E821" s="20"/>
      <c r="F821" s="41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40"/>
      <c r="B822" s="41"/>
      <c r="C822" s="20"/>
      <c r="D822" s="41"/>
      <c r="E822" s="20"/>
      <c r="F822" s="41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40"/>
      <c r="B823" s="41"/>
      <c r="C823" s="20"/>
      <c r="D823" s="41"/>
      <c r="E823" s="20"/>
      <c r="F823" s="41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40"/>
      <c r="B824" s="41"/>
      <c r="C824" s="20"/>
      <c r="D824" s="41"/>
      <c r="E824" s="20"/>
      <c r="F824" s="41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40"/>
      <c r="B825" s="41"/>
      <c r="C825" s="20"/>
      <c r="D825" s="41"/>
      <c r="E825" s="20"/>
      <c r="F825" s="41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40"/>
      <c r="B826" s="41"/>
      <c r="C826" s="20"/>
      <c r="D826" s="41"/>
      <c r="E826" s="20"/>
      <c r="F826" s="41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40"/>
      <c r="B827" s="41"/>
      <c r="C827" s="20"/>
      <c r="D827" s="41"/>
      <c r="E827" s="20"/>
      <c r="F827" s="41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40"/>
      <c r="B828" s="41"/>
      <c r="C828" s="20"/>
      <c r="D828" s="41"/>
      <c r="E828" s="20"/>
      <c r="F828" s="41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40"/>
      <c r="B829" s="41"/>
      <c r="C829" s="20"/>
      <c r="D829" s="41"/>
      <c r="E829" s="20"/>
      <c r="F829" s="41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40"/>
      <c r="B830" s="41"/>
      <c r="C830" s="20"/>
      <c r="D830" s="41"/>
      <c r="E830" s="20"/>
      <c r="F830" s="41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40"/>
      <c r="B831" s="41"/>
      <c r="C831" s="20"/>
      <c r="D831" s="41"/>
      <c r="E831" s="20"/>
      <c r="F831" s="41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40"/>
      <c r="B832" s="41"/>
      <c r="C832" s="20"/>
      <c r="D832" s="41"/>
      <c r="E832" s="20"/>
      <c r="F832" s="41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40"/>
      <c r="B833" s="41"/>
      <c r="C833" s="20"/>
      <c r="D833" s="41"/>
      <c r="E833" s="20"/>
      <c r="F833" s="41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40"/>
      <c r="B834" s="41"/>
      <c r="C834" s="20"/>
      <c r="D834" s="41"/>
      <c r="E834" s="20"/>
      <c r="F834" s="41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40"/>
      <c r="B835" s="41"/>
      <c r="C835" s="20"/>
      <c r="D835" s="41"/>
      <c r="E835" s="20"/>
      <c r="F835" s="41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40"/>
      <c r="B836" s="41"/>
      <c r="C836" s="20"/>
      <c r="D836" s="41"/>
      <c r="E836" s="20"/>
      <c r="F836" s="41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40"/>
      <c r="B837" s="41"/>
      <c r="C837" s="20"/>
      <c r="D837" s="41"/>
      <c r="E837" s="20"/>
      <c r="F837" s="41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40"/>
      <c r="B838" s="41"/>
      <c r="C838" s="20"/>
      <c r="D838" s="41"/>
      <c r="E838" s="20"/>
      <c r="F838" s="41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40"/>
      <c r="B839" s="41"/>
      <c r="C839" s="20"/>
      <c r="D839" s="41"/>
      <c r="E839" s="20"/>
      <c r="F839" s="41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40"/>
      <c r="B840" s="41"/>
      <c r="C840" s="20"/>
      <c r="D840" s="41"/>
      <c r="E840" s="20"/>
      <c r="F840" s="41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40"/>
      <c r="B841" s="41"/>
      <c r="C841" s="20"/>
      <c r="D841" s="41"/>
      <c r="E841" s="20"/>
      <c r="F841" s="41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40"/>
      <c r="B842" s="41"/>
      <c r="C842" s="20"/>
      <c r="D842" s="41"/>
      <c r="E842" s="20"/>
      <c r="F842" s="41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40"/>
      <c r="B843" s="41"/>
      <c r="C843" s="20"/>
      <c r="D843" s="41"/>
      <c r="E843" s="20"/>
      <c r="F843" s="41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40"/>
      <c r="B844" s="41"/>
      <c r="C844" s="20"/>
      <c r="D844" s="41"/>
      <c r="E844" s="20"/>
      <c r="F844" s="41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40"/>
      <c r="B845" s="41"/>
      <c r="C845" s="20"/>
      <c r="D845" s="41"/>
      <c r="E845" s="20"/>
      <c r="F845" s="41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40"/>
      <c r="B846" s="41"/>
      <c r="C846" s="20"/>
      <c r="D846" s="41"/>
      <c r="E846" s="20"/>
      <c r="F846" s="41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40"/>
      <c r="B847" s="41"/>
      <c r="C847" s="20"/>
      <c r="D847" s="41"/>
      <c r="E847" s="20"/>
      <c r="F847" s="41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40"/>
      <c r="B848" s="41"/>
      <c r="C848" s="20"/>
      <c r="D848" s="41"/>
      <c r="E848" s="20"/>
      <c r="F848" s="41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40"/>
      <c r="B849" s="41"/>
      <c r="C849" s="20"/>
      <c r="D849" s="41"/>
      <c r="E849" s="20"/>
      <c r="F849" s="41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40"/>
      <c r="B850" s="41"/>
      <c r="C850" s="20"/>
      <c r="D850" s="41"/>
      <c r="E850" s="20"/>
      <c r="F850" s="41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40"/>
      <c r="B851" s="41"/>
      <c r="C851" s="20"/>
      <c r="D851" s="41"/>
      <c r="E851" s="20"/>
      <c r="F851" s="41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40"/>
      <c r="B852" s="41"/>
      <c r="C852" s="20"/>
      <c r="D852" s="41"/>
      <c r="E852" s="20"/>
      <c r="F852" s="41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40"/>
      <c r="B853" s="41"/>
      <c r="C853" s="20"/>
      <c r="D853" s="41"/>
      <c r="E853" s="20"/>
      <c r="F853" s="41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40"/>
      <c r="B854" s="41"/>
      <c r="C854" s="20"/>
      <c r="D854" s="41"/>
      <c r="E854" s="20"/>
      <c r="F854" s="41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40"/>
      <c r="B855" s="41"/>
      <c r="C855" s="20"/>
      <c r="D855" s="41"/>
      <c r="E855" s="20"/>
      <c r="F855" s="41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40"/>
      <c r="B856" s="41"/>
      <c r="C856" s="20"/>
      <c r="D856" s="41"/>
      <c r="E856" s="20"/>
      <c r="F856" s="41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40"/>
      <c r="B857" s="41"/>
      <c r="C857" s="20"/>
      <c r="D857" s="41"/>
      <c r="E857" s="20"/>
      <c r="F857" s="41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40"/>
      <c r="B858" s="41"/>
      <c r="C858" s="20"/>
      <c r="D858" s="41"/>
      <c r="E858" s="20"/>
      <c r="F858" s="41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40"/>
      <c r="B859" s="41"/>
      <c r="C859" s="20"/>
      <c r="D859" s="41"/>
      <c r="E859" s="20"/>
      <c r="F859" s="41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40"/>
      <c r="B860" s="41"/>
      <c r="C860" s="20"/>
      <c r="D860" s="41"/>
      <c r="E860" s="20"/>
      <c r="F860" s="41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40"/>
      <c r="B861" s="41"/>
      <c r="C861" s="20"/>
      <c r="D861" s="41"/>
      <c r="E861" s="20"/>
      <c r="F861" s="41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40"/>
      <c r="B862" s="41"/>
      <c r="C862" s="20"/>
      <c r="D862" s="41"/>
      <c r="E862" s="20"/>
      <c r="F862" s="41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40"/>
      <c r="B863" s="41"/>
      <c r="C863" s="20"/>
      <c r="D863" s="41"/>
      <c r="E863" s="20"/>
      <c r="F863" s="41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40"/>
      <c r="B864" s="41"/>
      <c r="C864" s="20"/>
      <c r="D864" s="41"/>
      <c r="E864" s="20"/>
      <c r="F864" s="41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40"/>
      <c r="B865" s="41"/>
      <c r="C865" s="20"/>
      <c r="D865" s="41"/>
      <c r="E865" s="20"/>
      <c r="F865" s="41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40"/>
      <c r="B866" s="41"/>
      <c r="C866" s="20"/>
      <c r="D866" s="41"/>
      <c r="E866" s="20"/>
      <c r="F866" s="41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40"/>
      <c r="B867" s="41"/>
      <c r="C867" s="20"/>
      <c r="D867" s="41"/>
      <c r="E867" s="20"/>
      <c r="F867" s="41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40"/>
      <c r="B868" s="41"/>
      <c r="C868" s="20"/>
      <c r="D868" s="41"/>
      <c r="E868" s="20"/>
      <c r="F868" s="41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40"/>
      <c r="B869" s="41"/>
      <c r="C869" s="20"/>
      <c r="D869" s="41"/>
      <c r="E869" s="20"/>
      <c r="F869" s="41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40"/>
      <c r="B870" s="41"/>
      <c r="C870" s="20"/>
      <c r="D870" s="41"/>
      <c r="E870" s="20"/>
      <c r="F870" s="41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40"/>
      <c r="B871" s="41"/>
      <c r="C871" s="20"/>
      <c r="D871" s="41"/>
      <c r="E871" s="20"/>
      <c r="F871" s="41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40"/>
      <c r="B872" s="41"/>
      <c r="C872" s="20"/>
      <c r="D872" s="41"/>
      <c r="E872" s="20"/>
      <c r="F872" s="41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40"/>
      <c r="B873" s="41"/>
      <c r="C873" s="20"/>
      <c r="D873" s="41"/>
      <c r="E873" s="20"/>
      <c r="F873" s="41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40"/>
      <c r="B874" s="41"/>
      <c r="C874" s="20"/>
      <c r="D874" s="41"/>
      <c r="E874" s="20"/>
      <c r="F874" s="41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40"/>
      <c r="B875" s="41"/>
      <c r="C875" s="20"/>
      <c r="D875" s="41"/>
      <c r="E875" s="20"/>
      <c r="F875" s="41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40"/>
      <c r="B876" s="41"/>
      <c r="C876" s="20"/>
      <c r="D876" s="41"/>
      <c r="E876" s="20"/>
      <c r="F876" s="41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40"/>
      <c r="B877" s="41"/>
      <c r="C877" s="20"/>
      <c r="D877" s="41"/>
      <c r="E877" s="20"/>
      <c r="F877" s="41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40"/>
      <c r="B878" s="41"/>
      <c r="C878" s="20"/>
      <c r="D878" s="41"/>
      <c r="E878" s="20"/>
      <c r="F878" s="41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40"/>
      <c r="B879" s="41"/>
      <c r="C879" s="20"/>
      <c r="D879" s="41"/>
      <c r="E879" s="20"/>
      <c r="F879" s="41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40"/>
      <c r="B880" s="41"/>
      <c r="C880" s="20"/>
      <c r="D880" s="41"/>
      <c r="E880" s="20"/>
      <c r="F880" s="41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40"/>
      <c r="B881" s="41"/>
      <c r="C881" s="20"/>
      <c r="D881" s="41"/>
      <c r="E881" s="20"/>
      <c r="F881" s="41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40"/>
      <c r="B882" s="41"/>
      <c r="C882" s="20"/>
      <c r="D882" s="41"/>
      <c r="E882" s="20"/>
      <c r="F882" s="41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40"/>
      <c r="B883" s="41"/>
      <c r="C883" s="20"/>
      <c r="D883" s="41"/>
      <c r="E883" s="20"/>
      <c r="F883" s="41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40"/>
      <c r="B884" s="41"/>
      <c r="C884" s="20"/>
      <c r="D884" s="41"/>
      <c r="E884" s="20"/>
      <c r="F884" s="41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40"/>
      <c r="B885" s="41"/>
      <c r="C885" s="20"/>
      <c r="D885" s="41"/>
      <c r="E885" s="20"/>
      <c r="F885" s="41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40"/>
      <c r="B886" s="41"/>
      <c r="C886" s="20"/>
      <c r="D886" s="41"/>
      <c r="E886" s="20"/>
      <c r="F886" s="41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40"/>
      <c r="B887" s="41"/>
      <c r="C887" s="20"/>
      <c r="D887" s="41"/>
      <c r="E887" s="20"/>
      <c r="F887" s="41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40"/>
      <c r="B888" s="41"/>
      <c r="C888" s="20"/>
      <c r="D888" s="41"/>
      <c r="E888" s="20"/>
      <c r="F888" s="41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40"/>
      <c r="B889" s="41"/>
      <c r="C889" s="20"/>
      <c r="D889" s="41"/>
      <c r="E889" s="20"/>
      <c r="F889" s="41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40"/>
      <c r="B890" s="41"/>
      <c r="C890" s="20"/>
      <c r="D890" s="41"/>
      <c r="E890" s="20"/>
      <c r="F890" s="41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40"/>
      <c r="B891" s="41"/>
      <c r="C891" s="20"/>
      <c r="D891" s="41"/>
      <c r="E891" s="20"/>
      <c r="F891" s="41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40"/>
      <c r="B892" s="41"/>
      <c r="C892" s="20"/>
      <c r="D892" s="41"/>
      <c r="E892" s="20"/>
      <c r="F892" s="41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40"/>
      <c r="B893" s="41"/>
      <c r="C893" s="20"/>
      <c r="D893" s="41"/>
      <c r="E893" s="20"/>
      <c r="F893" s="41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40"/>
      <c r="B894" s="41"/>
      <c r="C894" s="20"/>
      <c r="D894" s="41"/>
      <c r="E894" s="20"/>
      <c r="F894" s="41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40"/>
      <c r="B895" s="41"/>
      <c r="C895" s="20"/>
      <c r="D895" s="41"/>
      <c r="E895" s="20"/>
      <c r="F895" s="41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40"/>
      <c r="B896" s="41"/>
      <c r="C896" s="20"/>
      <c r="D896" s="41"/>
      <c r="E896" s="20"/>
      <c r="F896" s="41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40"/>
      <c r="B897" s="41"/>
      <c r="C897" s="20"/>
      <c r="D897" s="41"/>
      <c r="E897" s="20"/>
      <c r="F897" s="41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40"/>
      <c r="B898" s="41"/>
      <c r="C898" s="20"/>
      <c r="D898" s="41"/>
      <c r="E898" s="20"/>
      <c r="F898" s="41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40"/>
      <c r="B899" s="41"/>
      <c r="C899" s="20"/>
      <c r="D899" s="41"/>
      <c r="E899" s="20"/>
      <c r="F899" s="41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40"/>
      <c r="B900" s="41"/>
      <c r="C900" s="20"/>
      <c r="D900" s="41"/>
      <c r="E900" s="20"/>
      <c r="F900" s="41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40"/>
      <c r="B901" s="41"/>
      <c r="C901" s="20"/>
      <c r="D901" s="41"/>
      <c r="E901" s="20"/>
      <c r="F901" s="41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40"/>
      <c r="B902" s="41"/>
      <c r="C902" s="20"/>
      <c r="D902" s="41"/>
      <c r="E902" s="20"/>
      <c r="F902" s="41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40"/>
      <c r="B903" s="41"/>
      <c r="C903" s="20"/>
      <c r="D903" s="41"/>
      <c r="E903" s="20"/>
      <c r="F903" s="41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40"/>
      <c r="B904" s="41"/>
      <c r="C904" s="20"/>
      <c r="D904" s="41"/>
      <c r="E904" s="20"/>
      <c r="F904" s="41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40"/>
      <c r="B905" s="41"/>
      <c r="C905" s="20"/>
      <c r="D905" s="41"/>
      <c r="E905" s="20"/>
      <c r="F905" s="41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40"/>
      <c r="B906" s="41"/>
      <c r="C906" s="20"/>
      <c r="D906" s="41"/>
      <c r="E906" s="20"/>
      <c r="F906" s="41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40"/>
      <c r="B907" s="41"/>
      <c r="C907" s="20"/>
      <c r="D907" s="41"/>
      <c r="E907" s="20"/>
      <c r="F907" s="41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40"/>
      <c r="B908" s="41"/>
      <c r="C908" s="20"/>
      <c r="D908" s="41"/>
      <c r="E908" s="20"/>
      <c r="F908" s="41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40"/>
      <c r="B909" s="41"/>
      <c r="C909" s="20"/>
      <c r="D909" s="41"/>
      <c r="E909" s="20"/>
      <c r="F909" s="41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40"/>
      <c r="B910" s="41"/>
      <c r="C910" s="20"/>
      <c r="D910" s="41"/>
      <c r="E910" s="20"/>
      <c r="F910" s="41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40"/>
      <c r="B911" s="41"/>
      <c r="C911" s="20"/>
      <c r="D911" s="41"/>
      <c r="E911" s="20"/>
      <c r="F911" s="41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40"/>
      <c r="B912" s="41"/>
      <c r="C912" s="20"/>
      <c r="D912" s="41"/>
      <c r="E912" s="20"/>
      <c r="F912" s="41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40"/>
      <c r="B913" s="41"/>
      <c r="C913" s="20"/>
      <c r="D913" s="41"/>
      <c r="E913" s="20"/>
      <c r="F913" s="41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40"/>
      <c r="B914" s="41"/>
      <c r="C914" s="20"/>
      <c r="D914" s="41"/>
      <c r="E914" s="20"/>
      <c r="F914" s="41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40"/>
      <c r="B915" s="41"/>
      <c r="C915" s="20"/>
      <c r="D915" s="41"/>
      <c r="E915" s="20"/>
      <c r="F915" s="41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40"/>
      <c r="B916" s="41"/>
      <c r="C916" s="20"/>
      <c r="D916" s="41"/>
      <c r="E916" s="20"/>
      <c r="F916" s="41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40"/>
      <c r="B917" s="41"/>
      <c r="C917" s="20"/>
      <c r="D917" s="41"/>
      <c r="E917" s="20"/>
      <c r="F917" s="41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40"/>
      <c r="B918" s="41"/>
      <c r="C918" s="20"/>
      <c r="D918" s="41"/>
      <c r="E918" s="20"/>
      <c r="F918" s="41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40"/>
      <c r="B919" s="41"/>
      <c r="C919" s="20"/>
      <c r="D919" s="41"/>
      <c r="E919" s="20"/>
      <c r="F919" s="41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40"/>
      <c r="B920" s="41"/>
      <c r="C920" s="20"/>
      <c r="D920" s="41"/>
      <c r="E920" s="20"/>
      <c r="F920" s="41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40"/>
      <c r="B921" s="41"/>
      <c r="C921" s="20"/>
      <c r="D921" s="41"/>
      <c r="E921" s="20"/>
      <c r="F921" s="41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40"/>
      <c r="B922" s="41"/>
      <c r="C922" s="20"/>
      <c r="D922" s="41"/>
      <c r="E922" s="20"/>
      <c r="F922" s="41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40"/>
      <c r="B923" s="41"/>
      <c r="C923" s="20"/>
      <c r="D923" s="41"/>
      <c r="E923" s="20"/>
      <c r="F923" s="41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40"/>
      <c r="B924" s="41"/>
      <c r="C924" s="20"/>
      <c r="D924" s="41"/>
      <c r="E924" s="20"/>
      <c r="F924" s="41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40"/>
      <c r="B925" s="41"/>
      <c r="C925" s="20"/>
      <c r="D925" s="41"/>
      <c r="E925" s="20"/>
      <c r="F925" s="41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40"/>
      <c r="B926" s="41"/>
      <c r="C926" s="20"/>
      <c r="D926" s="41"/>
      <c r="E926" s="20"/>
      <c r="F926" s="41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40"/>
      <c r="B927" s="41"/>
      <c r="C927" s="20"/>
      <c r="D927" s="41"/>
      <c r="E927" s="20"/>
      <c r="F927" s="41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40"/>
      <c r="B928" s="41"/>
      <c r="C928" s="20"/>
      <c r="D928" s="41"/>
      <c r="E928" s="20"/>
      <c r="F928" s="41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40"/>
      <c r="B929" s="41"/>
      <c r="C929" s="20"/>
      <c r="D929" s="41"/>
      <c r="E929" s="20"/>
      <c r="F929" s="41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40"/>
      <c r="B930" s="41"/>
      <c r="C930" s="20"/>
      <c r="D930" s="41"/>
      <c r="E930" s="20"/>
      <c r="F930" s="41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40"/>
      <c r="B931" s="41"/>
      <c r="C931" s="20"/>
      <c r="D931" s="41"/>
      <c r="E931" s="20"/>
      <c r="F931" s="41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40"/>
      <c r="B932" s="41"/>
      <c r="C932" s="20"/>
      <c r="D932" s="41"/>
      <c r="E932" s="20"/>
      <c r="F932" s="41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40"/>
      <c r="B933" s="41"/>
      <c r="C933" s="20"/>
      <c r="D933" s="41"/>
      <c r="E933" s="20"/>
      <c r="F933" s="41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40"/>
      <c r="B934" s="41"/>
      <c r="C934" s="20"/>
      <c r="D934" s="41"/>
      <c r="E934" s="20"/>
      <c r="F934" s="41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40"/>
      <c r="B935" s="41"/>
      <c r="C935" s="20"/>
      <c r="D935" s="41"/>
      <c r="E935" s="20"/>
      <c r="F935" s="41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40"/>
      <c r="B936" s="41"/>
      <c r="C936" s="20"/>
      <c r="D936" s="41"/>
      <c r="E936" s="20"/>
      <c r="F936" s="41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40"/>
      <c r="B937" s="41"/>
      <c r="C937" s="20"/>
      <c r="D937" s="41"/>
      <c r="E937" s="20"/>
      <c r="F937" s="41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40"/>
      <c r="B938" s="41"/>
      <c r="C938" s="20"/>
      <c r="D938" s="41"/>
      <c r="E938" s="20"/>
      <c r="F938" s="41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40"/>
      <c r="B939" s="41"/>
      <c r="C939" s="20"/>
      <c r="D939" s="41"/>
      <c r="E939" s="20"/>
      <c r="F939" s="41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40"/>
      <c r="B940" s="41"/>
      <c r="C940" s="20"/>
      <c r="D940" s="41"/>
      <c r="E940" s="20"/>
      <c r="F940" s="41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40"/>
      <c r="B941" s="41"/>
      <c r="C941" s="20"/>
      <c r="D941" s="41"/>
      <c r="E941" s="20"/>
      <c r="F941" s="41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40"/>
      <c r="B942" s="41"/>
      <c r="C942" s="20"/>
      <c r="D942" s="41"/>
      <c r="E942" s="20"/>
      <c r="F942" s="41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40"/>
      <c r="B943" s="41"/>
      <c r="C943" s="20"/>
      <c r="D943" s="41"/>
      <c r="E943" s="20"/>
      <c r="F943" s="41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40"/>
      <c r="B944" s="41"/>
      <c r="C944" s="20"/>
      <c r="D944" s="41"/>
      <c r="E944" s="20"/>
      <c r="F944" s="41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40"/>
      <c r="B945" s="41"/>
      <c r="C945" s="20"/>
      <c r="D945" s="41"/>
      <c r="E945" s="20"/>
      <c r="F945" s="41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40"/>
      <c r="B946" s="41"/>
      <c r="C946" s="20"/>
      <c r="D946" s="41"/>
      <c r="E946" s="20"/>
      <c r="F946" s="41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40"/>
      <c r="B947" s="41"/>
      <c r="C947" s="20"/>
      <c r="D947" s="41"/>
      <c r="E947" s="20"/>
      <c r="F947" s="41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40"/>
      <c r="B948" s="41"/>
      <c r="C948" s="20"/>
      <c r="D948" s="41"/>
      <c r="E948" s="20"/>
      <c r="F948" s="41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40"/>
      <c r="B949" s="41"/>
      <c r="C949" s="20"/>
      <c r="D949" s="41"/>
      <c r="E949" s="20"/>
      <c r="F949" s="41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40"/>
      <c r="B950" s="41"/>
      <c r="C950" s="20"/>
      <c r="D950" s="41"/>
      <c r="E950" s="20"/>
      <c r="F950" s="41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40"/>
      <c r="B951" s="41"/>
      <c r="C951" s="20"/>
      <c r="D951" s="41"/>
      <c r="E951" s="20"/>
      <c r="F951" s="41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40"/>
      <c r="B952" s="41"/>
      <c r="C952" s="20"/>
      <c r="D952" s="41"/>
      <c r="E952" s="20"/>
      <c r="F952" s="41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40"/>
      <c r="B953" s="41"/>
      <c r="C953" s="20"/>
      <c r="D953" s="41"/>
      <c r="E953" s="20"/>
      <c r="F953" s="41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40"/>
      <c r="B954" s="41"/>
      <c r="C954" s="20"/>
      <c r="D954" s="41"/>
      <c r="E954" s="20"/>
      <c r="F954" s="41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40"/>
      <c r="B955" s="41"/>
      <c r="C955" s="20"/>
      <c r="D955" s="41"/>
      <c r="E955" s="20"/>
      <c r="F955" s="41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40"/>
      <c r="B956" s="41"/>
      <c r="C956" s="20"/>
      <c r="D956" s="41"/>
      <c r="E956" s="20"/>
      <c r="F956" s="41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40"/>
      <c r="B957" s="41"/>
      <c r="C957" s="20"/>
      <c r="D957" s="41"/>
      <c r="E957" s="20"/>
      <c r="F957" s="41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40"/>
      <c r="B958" s="41"/>
      <c r="C958" s="20"/>
      <c r="D958" s="41"/>
      <c r="E958" s="20"/>
      <c r="F958" s="41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40"/>
      <c r="B959" s="41"/>
      <c r="C959" s="20"/>
      <c r="D959" s="41"/>
      <c r="E959" s="20"/>
      <c r="F959" s="41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40"/>
      <c r="B960" s="41"/>
      <c r="C960" s="20"/>
      <c r="D960" s="41"/>
      <c r="E960" s="20"/>
      <c r="F960" s="41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40"/>
      <c r="B961" s="41"/>
      <c r="C961" s="20"/>
      <c r="D961" s="41"/>
      <c r="E961" s="20"/>
      <c r="F961" s="41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40"/>
      <c r="B962" s="41"/>
      <c r="C962" s="20"/>
      <c r="D962" s="41"/>
      <c r="E962" s="20"/>
      <c r="F962" s="41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40"/>
      <c r="B963" s="41"/>
      <c r="C963" s="20"/>
      <c r="D963" s="41"/>
      <c r="E963" s="20"/>
      <c r="F963" s="41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40"/>
      <c r="B964" s="41"/>
      <c r="C964" s="20"/>
      <c r="D964" s="41"/>
      <c r="E964" s="20"/>
      <c r="F964" s="41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40"/>
      <c r="B965" s="41"/>
      <c r="C965" s="20"/>
      <c r="D965" s="41"/>
      <c r="E965" s="20"/>
      <c r="F965" s="41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40"/>
      <c r="B966" s="41"/>
      <c r="C966" s="20"/>
      <c r="D966" s="41"/>
      <c r="E966" s="20"/>
      <c r="F966" s="41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40"/>
      <c r="B967" s="41"/>
      <c r="C967" s="20"/>
      <c r="D967" s="41"/>
      <c r="E967" s="20"/>
      <c r="F967" s="41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40"/>
      <c r="B968" s="41"/>
      <c r="C968" s="20"/>
      <c r="D968" s="41"/>
      <c r="E968" s="20"/>
      <c r="F968" s="41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40"/>
      <c r="B969" s="41"/>
      <c r="C969" s="20"/>
      <c r="D969" s="41"/>
      <c r="E969" s="20"/>
      <c r="F969" s="41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40"/>
      <c r="B970" s="41"/>
      <c r="C970" s="20"/>
      <c r="D970" s="41"/>
      <c r="E970" s="20"/>
      <c r="F970" s="41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40"/>
      <c r="B971" s="41"/>
      <c r="C971" s="20"/>
      <c r="D971" s="41"/>
      <c r="E971" s="20"/>
      <c r="F971" s="41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40"/>
      <c r="B972" s="41"/>
      <c r="C972" s="20"/>
      <c r="D972" s="41"/>
      <c r="E972" s="20"/>
      <c r="F972" s="41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40"/>
      <c r="B973" s="41"/>
      <c r="C973" s="20"/>
      <c r="D973" s="41"/>
      <c r="E973" s="20"/>
      <c r="F973" s="41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40"/>
      <c r="B974" s="41"/>
      <c r="C974" s="20"/>
      <c r="D974" s="41"/>
      <c r="E974" s="20"/>
      <c r="F974" s="41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40"/>
      <c r="B975" s="41"/>
      <c r="C975" s="20"/>
      <c r="D975" s="41"/>
      <c r="E975" s="20"/>
      <c r="F975" s="41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40"/>
      <c r="B976" s="41"/>
      <c r="C976" s="20"/>
      <c r="D976" s="41"/>
      <c r="E976" s="20"/>
      <c r="F976" s="41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40"/>
      <c r="B977" s="41"/>
      <c r="C977" s="20"/>
      <c r="D977" s="41"/>
      <c r="E977" s="20"/>
      <c r="F977" s="41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40"/>
      <c r="B978" s="41"/>
      <c r="C978" s="20"/>
      <c r="D978" s="41"/>
      <c r="E978" s="20"/>
      <c r="F978" s="41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40"/>
      <c r="B979" s="41"/>
      <c r="C979" s="20"/>
      <c r="D979" s="41"/>
      <c r="E979" s="20"/>
      <c r="F979" s="41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40"/>
      <c r="B980" s="41"/>
      <c r="C980" s="20"/>
      <c r="D980" s="41"/>
      <c r="E980" s="20"/>
      <c r="F980" s="41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40"/>
      <c r="B981" s="41"/>
      <c r="C981" s="20"/>
      <c r="D981" s="41"/>
      <c r="E981" s="20"/>
      <c r="F981" s="41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40"/>
      <c r="B982" s="41"/>
      <c r="C982" s="20"/>
      <c r="D982" s="41"/>
      <c r="E982" s="20"/>
      <c r="F982" s="41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40"/>
      <c r="B983" s="41"/>
      <c r="C983" s="20"/>
      <c r="D983" s="41"/>
      <c r="E983" s="20"/>
      <c r="F983" s="41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40"/>
      <c r="B984" s="41"/>
      <c r="C984" s="20"/>
      <c r="D984" s="41"/>
      <c r="E984" s="20"/>
      <c r="F984" s="41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40"/>
      <c r="B985" s="41"/>
      <c r="C985" s="20"/>
      <c r="D985" s="41"/>
      <c r="E985" s="20"/>
      <c r="F985" s="41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40"/>
      <c r="B986" s="41"/>
      <c r="C986" s="20"/>
      <c r="D986" s="41"/>
      <c r="E986" s="20"/>
      <c r="F986" s="41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40"/>
      <c r="B987" s="41"/>
      <c r="C987" s="20"/>
      <c r="D987" s="41"/>
      <c r="E987" s="20"/>
      <c r="F987" s="41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40"/>
      <c r="B988" s="41"/>
      <c r="C988" s="20"/>
      <c r="D988" s="41"/>
      <c r="E988" s="20"/>
      <c r="F988" s="41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40"/>
      <c r="B989" s="41"/>
      <c r="C989" s="20"/>
      <c r="D989" s="41"/>
      <c r="E989" s="20"/>
      <c r="F989" s="41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40"/>
      <c r="B990" s="41"/>
      <c r="C990" s="20"/>
      <c r="D990" s="41"/>
      <c r="E990" s="20"/>
      <c r="F990" s="41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40"/>
      <c r="B991" s="41"/>
      <c r="C991" s="20"/>
      <c r="D991" s="41"/>
      <c r="E991" s="20"/>
      <c r="F991" s="41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40"/>
      <c r="B992" s="41"/>
      <c r="C992" s="20"/>
      <c r="D992" s="41"/>
      <c r="E992" s="20"/>
      <c r="F992" s="41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40"/>
      <c r="B993" s="41"/>
      <c r="C993" s="20"/>
      <c r="D993" s="41"/>
      <c r="E993" s="20"/>
      <c r="F993" s="41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40"/>
      <c r="B994" s="41"/>
      <c r="C994" s="20"/>
      <c r="D994" s="41"/>
      <c r="E994" s="20"/>
      <c r="F994" s="41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40"/>
      <c r="B995" s="41"/>
      <c r="C995" s="20"/>
      <c r="D995" s="41"/>
      <c r="E995" s="20"/>
      <c r="F995" s="41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40"/>
      <c r="B996" s="41"/>
      <c r="C996" s="20"/>
      <c r="D996" s="41"/>
      <c r="E996" s="20"/>
      <c r="F996" s="41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40"/>
      <c r="B997" s="41"/>
      <c r="C997" s="20"/>
      <c r="D997" s="41"/>
      <c r="E997" s="20"/>
      <c r="F997" s="41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40"/>
      <c r="B998" s="41"/>
      <c r="C998" s="20"/>
      <c r="D998" s="41"/>
      <c r="E998" s="20"/>
      <c r="F998" s="41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40"/>
      <c r="B999" s="41"/>
      <c r="C999" s="20"/>
      <c r="D999" s="41"/>
      <c r="E999" s="20"/>
      <c r="F999" s="41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40"/>
      <c r="B1000" s="41"/>
      <c r="C1000" s="20"/>
      <c r="D1000" s="41"/>
      <c r="E1000" s="20"/>
      <c r="F1000" s="41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8:D14"/>
  </mergeCells>
  <printOptions horizontalCentered="1"/>
  <pageMargins bottom="0.7874015748031497" footer="0.0" header="0.0" left="0.1968503937007874" right="0.1968503937007874" top="0.7874015748031497"/>
  <pageSetup paperSize="9" orientation="portrait"/>
  <headerFooter>
    <oddHeader>&amp;R&amp;F  Page &amp;P of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7.75"/>
    <col customWidth="1" min="2" max="2" width="55.75"/>
    <col customWidth="1" min="3" max="3" width="6.75"/>
    <col customWidth="1" min="4" max="5" width="7.75"/>
    <col customWidth="1" min="6" max="6" width="8.75"/>
    <col customWidth="1" min="7" max="8" width="15.75"/>
    <col customWidth="1" min="9" max="9" width="9.38"/>
    <col customWidth="1" min="10" max="26" width="9.13"/>
  </cols>
  <sheetData>
    <row r="1" ht="14.25" customHeight="1">
      <c r="A1" s="67"/>
      <c r="B1" s="33"/>
      <c r="C1" s="67"/>
      <c r="D1" s="67"/>
      <c r="E1" s="33"/>
      <c r="F1" s="68"/>
      <c r="G1" s="69" t="s">
        <v>197</v>
      </c>
      <c r="I1" s="70"/>
      <c r="J1" s="70"/>
      <c r="K1" s="70"/>
      <c r="L1" s="70"/>
      <c r="M1" s="70"/>
      <c r="N1" s="70"/>
      <c r="O1" s="70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4.25" customHeight="1">
      <c r="A2" s="67"/>
      <c r="B2" s="33"/>
      <c r="C2" s="67"/>
      <c r="D2" s="67"/>
      <c r="E2" s="67"/>
      <c r="F2" s="71"/>
      <c r="I2" s="70"/>
      <c r="J2" s="70"/>
      <c r="K2" s="70"/>
      <c r="L2" s="70"/>
      <c r="M2" s="70"/>
      <c r="N2" s="70"/>
      <c r="O2" s="70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67"/>
      <c r="B3" s="33"/>
      <c r="C3" s="67"/>
      <c r="D3" s="67"/>
      <c r="E3" s="67"/>
      <c r="F3" s="71"/>
      <c r="I3" s="70"/>
      <c r="J3" s="70"/>
      <c r="K3" s="70"/>
      <c r="L3" s="70"/>
      <c r="M3" s="70"/>
      <c r="N3" s="70"/>
      <c r="O3" s="70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67"/>
      <c r="B4" s="33"/>
      <c r="C4" s="72"/>
      <c r="D4" s="72"/>
      <c r="E4" s="67"/>
      <c r="F4" s="71"/>
      <c r="I4" s="70"/>
      <c r="J4" s="70"/>
      <c r="K4" s="70"/>
      <c r="L4" s="70"/>
      <c r="M4" s="70"/>
      <c r="N4" s="70"/>
      <c r="O4" s="70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67"/>
      <c r="B5" s="33"/>
      <c r="C5" s="72"/>
      <c r="D5" s="72"/>
      <c r="E5" s="67"/>
      <c r="F5" s="71"/>
      <c r="G5" s="73"/>
      <c r="H5" s="73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74" t="s">
        <v>198</v>
      </c>
      <c r="B6" s="75"/>
      <c r="C6" s="75"/>
      <c r="D6" s="75"/>
      <c r="E6" s="75"/>
      <c r="F6" s="75"/>
      <c r="G6" s="75"/>
      <c r="H6" s="76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77" t="s">
        <v>199</v>
      </c>
      <c r="B7" s="78" t="s">
        <v>200</v>
      </c>
      <c r="C7" s="78" t="s">
        <v>201</v>
      </c>
      <c r="D7" s="78" t="s">
        <v>202</v>
      </c>
      <c r="E7" s="78" t="s">
        <v>203</v>
      </c>
      <c r="F7" s="79" t="s">
        <v>204</v>
      </c>
      <c r="G7" s="80" t="s">
        <v>205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3"/>
      <c r="B8" s="84"/>
      <c r="C8" s="84"/>
      <c r="D8" s="84"/>
      <c r="E8" s="84"/>
      <c r="F8" s="84"/>
      <c r="G8" s="85" t="s">
        <v>206</v>
      </c>
      <c r="H8" s="86" t="s">
        <v>207</v>
      </c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7"/>
      <c r="B9" s="88" t="s">
        <v>208</v>
      </c>
      <c r="C9" s="89"/>
      <c r="D9" s="89"/>
      <c r="E9" s="89"/>
      <c r="F9" s="90"/>
      <c r="G9" s="91"/>
      <c r="H9" s="92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93" t="s">
        <v>209</v>
      </c>
      <c r="B10" s="61" t="s">
        <v>210</v>
      </c>
      <c r="C10" s="94">
        <v>100.0</v>
      </c>
      <c r="D10" s="94">
        <f>+C10/E10</f>
        <v>10</v>
      </c>
      <c r="E10" s="94">
        <v>10.0</v>
      </c>
      <c r="F10" s="95">
        <v>10.049999999999999</v>
      </c>
      <c r="G10" s="96">
        <v>6.00963583E12</v>
      </c>
      <c r="H10" s="97">
        <v>6.009635830017E12</v>
      </c>
      <c r="I10" s="98"/>
      <c r="J10" s="18"/>
      <c r="K10" s="18"/>
      <c r="L10" s="9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93" t="s">
        <v>211</v>
      </c>
      <c r="B11" s="59" t="s">
        <v>212</v>
      </c>
      <c r="C11" s="94">
        <v>100.0</v>
      </c>
      <c r="D11" s="94" t="s">
        <v>213</v>
      </c>
      <c r="E11" s="94" t="s">
        <v>213</v>
      </c>
      <c r="F11" s="95">
        <v>9.86</v>
      </c>
      <c r="G11" s="96">
        <v>6.00963583E12</v>
      </c>
      <c r="H11" s="97" t="s">
        <v>213</v>
      </c>
      <c r="I11" s="98"/>
      <c r="J11" s="18"/>
      <c r="K11" s="18"/>
      <c r="L11" s="9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93" t="s">
        <v>214</v>
      </c>
      <c r="B12" s="61" t="s">
        <v>215</v>
      </c>
      <c r="C12" s="94">
        <v>100.0</v>
      </c>
      <c r="D12" s="94">
        <f t="shared" ref="D12:D13" si="1">+C12/E12</f>
        <v>10</v>
      </c>
      <c r="E12" s="94">
        <v>10.0</v>
      </c>
      <c r="F12" s="95">
        <v>10.049999999999999</v>
      </c>
      <c r="G12" s="96">
        <v>6.009635830031E12</v>
      </c>
      <c r="H12" s="97">
        <v>6.009635830048E12</v>
      </c>
      <c r="I12" s="98"/>
      <c r="J12" s="18"/>
      <c r="K12" s="18"/>
      <c r="L12" s="9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93" t="s">
        <v>216</v>
      </c>
      <c r="B13" s="61" t="s">
        <v>217</v>
      </c>
      <c r="C13" s="94">
        <v>50.0</v>
      </c>
      <c r="D13" s="94">
        <f t="shared" si="1"/>
        <v>5</v>
      </c>
      <c r="E13" s="94">
        <v>10.0</v>
      </c>
      <c r="F13" s="95">
        <v>15.33</v>
      </c>
      <c r="G13" s="96">
        <v>6.009635830062E12</v>
      </c>
      <c r="H13" s="97">
        <v>6.009635830079E12</v>
      </c>
      <c r="I13" s="98"/>
      <c r="J13" s="18"/>
      <c r="K13" s="18"/>
      <c r="L13" s="9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93" t="s">
        <v>218</v>
      </c>
      <c r="B14" s="59" t="s">
        <v>219</v>
      </c>
      <c r="C14" s="94">
        <v>50.0</v>
      </c>
      <c r="D14" s="94" t="s">
        <v>213</v>
      </c>
      <c r="E14" s="94" t="s">
        <v>213</v>
      </c>
      <c r="F14" s="95">
        <v>14.84</v>
      </c>
      <c r="G14" s="96">
        <v>6.009635830062E12</v>
      </c>
      <c r="H14" s="97" t="s">
        <v>213</v>
      </c>
      <c r="I14" s="98"/>
      <c r="J14" s="18"/>
      <c r="K14" s="18"/>
      <c r="L14" s="9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93" t="s">
        <v>220</v>
      </c>
      <c r="B15" s="61" t="s">
        <v>221</v>
      </c>
      <c r="C15" s="94">
        <v>50.0</v>
      </c>
      <c r="D15" s="94">
        <f t="shared" ref="D15:D16" si="2">+C15/E15</f>
        <v>5</v>
      </c>
      <c r="E15" s="94">
        <v>10.0</v>
      </c>
      <c r="F15" s="95">
        <v>15.73</v>
      </c>
      <c r="G15" s="96">
        <v>6.009635830093E12</v>
      </c>
      <c r="H15" s="97">
        <v>6.009635830109E12</v>
      </c>
      <c r="I15" s="98"/>
      <c r="J15" s="18"/>
      <c r="K15" s="18"/>
      <c r="L15" s="9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93" t="s">
        <v>222</v>
      </c>
      <c r="B16" s="61" t="s">
        <v>223</v>
      </c>
      <c r="C16" s="94">
        <v>40.0</v>
      </c>
      <c r="D16" s="94">
        <f t="shared" si="2"/>
        <v>5</v>
      </c>
      <c r="E16" s="94">
        <v>8.0</v>
      </c>
      <c r="F16" s="95">
        <v>21.740000000000002</v>
      </c>
      <c r="G16" s="96">
        <v>6.009635830123E12</v>
      </c>
      <c r="H16" s="97">
        <v>6.00963583013E12</v>
      </c>
      <c r="I16" s="98"/>
      <c r="J16" s="18"/>
      <c r="K16" s="18"/>
      <c r="L16" s="9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93" t="s">
        <v>224</v>
      </c>
      <c r="B17" s="59" t="s">
        <v>225</v>
      </c>
      <c r="C17" s="94">
        <v>40.0</v>
      </c>
      <c r="D17" s="94" t="s">
        <v>213</v>
      </c>
      <c r="E17" s="94" t="s">
        <v>213</v>
      </c>
      <c r="F17" s="95">
        <v>21.470000000000002</v>
      </c>
      <c r="G17" s="96">
        <v>6.009635830123E12</v>
      </c>
      <c r="H17" s="97" t="s">
        <v>213</v>
      </c>
      <c r="I17" s="98"/>
      <c r="J17" s="18"/>
      <c r="K17" s="18"/>
      <c r="L17" s="9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93" t="s">
        <v>226</v>
      </c>
      <c r="B18" s="61" t="s">
        <v>227</v>
      </c>
      <c r="C18" s="94">
        <v>40.0</v>
      </c>
      <c r="D18" s="94">
        <f>+C18/E18</f>
        <v>5</v>
      </c>
      <c r="E18" s="94">
        <v>8.0</v>
      </c>
      <c r="F18" s="95">
        <v>21.94</v>
      </c>
      <c r="G18" s="96">
        <v>6.009635831052E12</v>
      </c>
      <c r="H18" s="97">
        <v>6.009635831069E12</v>
      </c>
      <c r="I18" s="98"/>
      <c r="J18" s="18"/>
      <c r="K18" s="18"/>
      <c r="L18" s="9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93" t="s">
        <v>228</v>
      </c>
      <c r="B19" s="61" t="s">
        <v>229</v>
      </c>
      <c r="C19" s="94">
        <v>30.0</v>
      </c>
      <c r="D19" s="94">
        <v>3.0</v>
      </c>
      <c r="E19" s="94">
        <v>10.0</v>
      </c>
      <c r="F19" s="95">
        <v>32.669999999999995</v>
      </c>
      <c r="G19" s="96">
        <v>6.009635831281E12</v>
      </c>
      <c r="H19" s="97">
        <v>6.009635831274E12</v>
      </c>
      <c r="I19" s="98"/>
      <c r="J19" s="18"/>
      <c r="K19" s="18"/>
      <c r="L19" s="9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93" t="s">
        <v>230</v>
      </c>
      <c r="B20" s="61" t="s">
        <v>231</v>
      </c>
      <c r="C20" s="94">
        <v>80.0</v>
      </c>
      <c r="D20" s="94">
        <v>10.0</v>
      </c>
      <c r="E20" s="94">
        <v>8.0</v>
      </c>
      <c r="F20" s="95">
        <v>14.7</v>
      </c>
      <c r="G20" s="96">
        <v>6.009635831243E12</v>
      </c>
      <c r="H20" s="97">
        <v>6.009635831212E12</v>
      </c>
      <c r="I20" s="98"/>
      <c r="J20" s="18"/>
      <c r="K20" s="18"/>
      <c r="L20" s="9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99"/>
      <c r="B21" s="61"/>
      <c r="C21" s="94"/>
      <c r="D21" s="94"/>
      <c r="E21" s="94"/>
      <c r="F21" s="95"/>
      <c r="G21" s="96"/>
      <c r="H21" s="97"/>
      <c r="I21" s="98"/>
      <c r="J21" s="18"/>
      <c r="K21" s="18"/>
      <c r="L21" s="9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99"/>
      <c r="B22" s="100" t="s">
        <v>232</v>
      </c>
      <c r="C22" s="94"/>
      <c r="D22" s="94"/>
      <c r="E22" s="94"/>
      <c r="F22" s="95"/>
      <c r="G22" s="96"/>
      <c r="H22" s="97"/>
      <c r="I22" s="98"/>
      <c r="J22" s="18"/>
      <c r="K22" s="18"/>
      <c r="L22" s="9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93" t="s">
        <v>233</v>
      </c>
      <c r="B23" s="61" t="s">
        <v>234</v>
      </c>
      <c r="C23" s="94">
        <v>160.0</v>
      </c>
      <c r="D23" s="94">
        <f t="shared" ref="D23:D26" si="3">+C23/E23</f>
        <v>10</v>
      </c>
      <c r="E23" s="94">
        <v>16.0</v>
      </c>
      <c r="F23" s="95">
        <v>6.27</v>
      </c>
      <c r="G23" s="96">
        <v>6.009635830475E12</v>
      </c>
      <c r="H23" s="97">
        <v>6.009635830468E12</v>
      </c>
      <c r="I23" s="98"/>
      <c r="J23" s="18"/>
      <c r="K23" s="18"/>
      <c r="L23" s="9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93" t="s">
        <v>235</v>
      </c>
      <c r="B24" s="61" t="s">
        <v>236</v>
      </c>
      <c r="C24" s="94">
        <v>160.0</v>
      </c>
      <c r="D24" s="94">
        <f t="shared" si="3"/>
        <v>10</v>
      </c>
      <c r="E24" s="94">
        <v>16.0</v>
      </c>
      <c r="F24" s="95">
        <v>8.87</v>
      </c>
      <c r="G24" s="96">
        <v>6.009635830499E12</v>
      </c>
      <c r="H24" s="97">
        <v>6.009635830482E12</v>
      </c>
      <c r="I24" s="98"/>
      <c r="J24" s="18"/>
      <c r="K24" s="18"/>
      <c r="L24" s="9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93" t="s">
        <v>237</v>
      </c>
      <c r="B25" s="61" t="s">
        <v>238</v>
      </c>
      <c r="C25" s="94">
        <v>100.0</v>
      </c>
      <c r="D25" s="94">
        <f t="shared" si="3"/>
        <v>5</v>
      </c>
      <c r="E25" s="94">
        <v>20.0</v>
      </c>
      <c r="F25" s="95">
        <v>9.69</v>
      </c>
      <c r="G25" s="96">
        <v>6.009635830536E12</v>
      </c>
      <c r="H25" s="97">
        <v>6.009635830529E12</v>
      </c>
      <c r="I25" s="98"/>
      <c r="J25" s="18"/>
      <c r="K25" s="18"/>
      <c r="L25" s="9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93" t="s">
        <v>239</v>
      </c>
      <c r="B26" s="61" t="s">
        <v>240</v>
      </c>
      <c r="C26" s="94">
        <v>100.0</v>
      </c>
      <c r="D26" s="94">
        <f t="shared" si="3"/>
        <v>5</v>
      </c>
      <c r="E26" s="94">
        <v>20.0</v>
      </c>
      <c r="F26" s="95">
        <v>9.69</v>
      </c>
      <c r="G26" s="96">
        <v>6.00963583055E12</v>
      </c>
      <c r="H26" s="97">
        <v>6.009635830543E12</v>
      </c>
      <c r="I26" s="98"/>
      <c r="J26" s="18"/>
      <c r="K26" s="18"/>
      <c r="L26" s="9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99"/>
      <c r="B27" s="61"/>
      <c r="C27" s="94"/>
      <c r="D27" s="94"/>
      <c r="E27" s="94"/>
      <c r="F27" s="95"/>
      <c r="G27" s="96"/>
      <c r="H27" s="97"/>
      <c r="I27" s="98"/>
      <c r="J27" s="18"/>
      <c r="K27" s="18"/>
      <c r="L27" s="9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99"/>
      <c r="B28" s="101" t="s">
        <v>241</v>
      </c>
      <c r="C28" s="94"/>
      <c r="D28" s="94"/>
      <c r="E28" s="94"/>
      <c r="F28" s="95"/>
      <c r="G28" s="96"/>
      <c r="H28" s="97"/>
      <c r="I28" s="98"/>
      <c r="J28" s="18"/>
      <c r="K28" s="18"/>
      <c r="L28" s="9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93" t="s">
        <v>242</v>
      </c>
      <c r="B29" s="61" t="s">
        <v>243</v>
      </c>
      <c r="C29" s="94">
        <v>70.0</v>
      </c>
      <c r="D29" s="94">
        <f t="shared" ref="D29:D30" si="4">+C29/E29</f>
        <v>5</v>
      </c>
      <c r="E29" s="94">
        <v>14.0</v>
      </c>
      <c r="F29" s="95">
        <v>10.24</v>
      </c>
      <c r="G29" s="96">
        <v>6.009635830215E12</v>
      </c>
      <c r="H29" s="97">
        <v>6.009635830222E12</v>
      </c>
      <c r="I29" s="98"/>
      <c r="J29" s="18"/>
      <c r="K29" s="18"/>
      <c r="L29" s="9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93" t="s">
        <v>244</v>
      </c>
      <c r="B30" s="61" t="s">
        <v>245</v>
      </c>
      <c r="C30" s="94">
        <v>60.0</v>
      </c>
      <c r="D30" s="94">
        <f t="shared" si="4"/>
        <v>5</v>
      </c>
      <c r="E30" s="94">
        <v>12.0</v>
      </c>
      <c r="F30" s="95">
        <v>10.92</v>
      </c>
      <c r="G30" s="96">
        <v>6.009635830154E12</v>
      </c>
      <c r="H30" s="97">
        <v>6.009635830161E12</v>
      </c>
      <c r="I30" s="98"/>
      <c r="J30" s="18"/>
      <c r="K30" s="18"/>
      <c r="L30" s="9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93" t="s">
        <v>246</v>
      </c>
      <c r="B31" s="61" t="s">
        <v>247</v>
      </c>
      <c r="C31" s="94">
        <v>60.0</v>
      </c>
      <c r="D31" s="94" t="s">
        <v>213</v>
      </c>
      <c r="E31" s="94" t="s">
        <v>213</v>
      </c>
      <c r="F31" s="95">
        <v>10.34</v>
      </c>
      <c r="G31" s="96">
        <v>6.009635830154E12</v>
      </c>
      <c r="H31" s="97" t="s">
        <v>213</v>
      </c>
      <c r="I31" s="98"/>
      <c r="J31" s="18"/>
      <c r="K31" s="18"/>
      <c r="L31" s="9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99"/>
      <c r="B32" s="61"/>
      <c r="C32" s="94"/>
      <c r="D32" s="94"/>
      <c r="E32" s="94"/>
      <c r="F32" s="95"/>
      <c r="G32" s="96"/>
      <c r="H32" s="97"/>
      <c r="I32" s="98"/>
      <c r="J32" s="18"/>
      <c r="K32" s="18"/>
      <c r="L32" s="9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99"/>
      <c r="B33" s="101" t="s">
        <v>248</v>
      </c>
      <c r="C33" s="94"/>
      <c r="D33" s="94"/>
      <c r="E33" s="94"/>
      <c r="F33" s="95"/>
      <c r="G33" s="96"/>
      <c r="H33" s="97"/>
      <c r="I33" s="98"/>
      <c r="J33" s="18"/>
      <c r="K33" s="18"/>
      <c r="L33" s="9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93" t="s">
        <v>249</v>
      </c>
      <c r="B34" s="61" t="s">
        <v>250</v>
      </c>
      <c r="C34" s="94">
        <v>320.0</v>
      </c>
      <c r="D34" s="94">
        <f t="shared" ref="D34:D37" si="5">+C34/E34</f>
        <v>20</v>
      </c>
      <c r="E34" s="94">
        <v>16.0</v>
      </c>
      <c r="F34" s="95">
        <v>2.3</v>
      </c>
      <c r="G34" s="96">
        <v>6.009635830802E12</v>
      </c>
      <c r="H34" s="97">
        <v>6.009635830796E12</v>
      </c>
      <c r="I34" s="98"/>
      <c r="J34" s="18"/>
      <c r="K34" s="18"/>
      <c r="L34" s="9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93" t="s">
        <v>251</v>
      </c>
      <c r="B35" s="61" t="s">
        <v>252</v>
      </c>
      <c r="C35" s="94">
        <v>320.0</v>
      </c>
      <c r="D35" s="94">
        <f t="shared" si="5"/>
        <v>20</v>
      </c>
      <c r="E35" s="94">
        <v>16.0</v>
      </c>
      <c r="F35" s="95">
        <v>2.3</v>
      </c>
      <c r="G35" s="96">
        <v>6.00963583084E12</v>
      </c>
      <c r="H35" s="97">
        <v>6.009635830833E12</v>
      </c>
      <c r="I35" s="98"/>
      <c r="J35" s="18"/>
      <c r="K35" s="18"/>
      <c r="L35" s="9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93" t="s">
        <v>253</v>
      </c>
      <c r="B36" s="61" t="s">
        <v>254</v>
      </c>
      <c r="C36" s="94">
        <v>200.0</v>
      </c>
      <c r="D36" s="94">
        <f t="shared" si="5"/>
        <v>25</v>
      </c>
      <c r="E36" s="94">
        <v>8.0</v>
      </c>
      <c r="F36" s="95">
        <v>3.4299999999999997</v>
      </c>
      <c r="G36" s="96">
        <v>6.009635830925E12</v>
      </c>
      <c r="H36" s="97">
        <v>6.009635830918E12</v>
      </c>
      <c r="I36" s="98"/>
      <c r="J36" s="18"/>
      <c r="K36" s="18"/>
      <c r="L36" s="9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93" t="s">
        <v>255</v>
      </c>
      <c r="B37" s="61" t="s">
        <v>256</v>
      </c>
      <c r="C37" s="94">
        <v>160.0</v>
      </c>
      <c r="D37" s="94">
        <f t="shared" si="5"/>
        <v>20</v>
      </c>
      <c r="E37" s="94">
        <v>8.0</v>
      </c>
      <c r="F37" s="95">
        <v>4.17</v>
      </c>
      <c r="G37" s="96">
        <v>6.009635830864E12</v>
      </c>
      <c r="H37" s="97">
        <v>6.009635830857E12</v>
      </c>
      <c r="I37" s="98"/>
      <c r="J37" s="18"/>
      <c r="K37" s="18"/>
      <c r="L37" s="9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93" t="s">
        <v>257</v>
      </c>
      <c r="B38" s="61" t="s">
        <v>258</v>
      </c>
      <c r="C38" s="94">
        <v>160.0</v>
      </c>
      <c r="D38" s="94" t="s">
        <v>213</v>
      </c>
      <c r="E38" s="94" t="s">
        <v>213</v>
      </c>
      <c r="F38" s="95">
        <v>3.9899999999999998</v>
      </c>
      <c r="G38" s="96">
        <v>6.009635830864E12</v>
      </c>
      <c r="H38" s="97" t="s">
        <v>213</v>
      </c>
      <c r="I38" s="98"/>
      <c r="J38" s="18"/>
      <c r="K38" s="18"/>
      <c r="L38" s="9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93" t="s">
        <v>259</v>
      </c>
      <c r="B39" s="61" t="s">
        <v>260</v>
      </c>
      <c r="C39" s="94">
        <v>160.0</v>
      </c>
      <c r="D39" s="94">
        <f t="shared" ref="D39:D40" si="6">+C39/E39</f>
        <v>20</v>
      </c>
      <c r="E39" s="94">
        <v>8.0</v>
      </c>
      <c r="F39" s="95">
        <v>4.38</v>
      </c>
      <c r="G39" s="96">
        <v>6.009635830888E12</v>
      </c>
      <c r="H39" s="97">
        <v>6.009635830871E12</v>
      </c>
      <c r="I39" s="98"/>
      <c r="J39" s="18"/>
      <c r="K39" s="18"/>
      <c r="L39" s="9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93" t="s">
        <v>261</v>
      </c>
      <c r="B40" s="61" t="s">
        <v>262</v>
      </c>
      <c r="C40" s="94">
        <v>160.0</v>
      </c>
      <c r="D40" s="94">
        <f t="shared" si="6"/>
        <v>20</v>
      </c>
      <c r="E40" s="94">
        <v>8.0</v>
      </c>
      <c r="F40" s="95">
        <v>4.38</v>
      </c>
      <c r="G40" s="96">
        <v>6.009635830901E12</v>
      </c>
      <c r="H40" s="97">
        <v>6.009635830895E12</v>
      </c>
      <c r="I40" s="98"/>
      <c r="J40" s="18"/>
      <c r="K40" s="18"/>
      <c r="L40" s="9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93" t="s">
        <v>263</v>
      </c>
      <c r="B41" s="61" t="s">
        <v>264</v>
      </c>
      <c r="C41" s="94">
        <v>160.0</v>
      </c>
      <c r="D41" s="94">
        <v>20.0</v>
      </c>
      <c r="E41" s="94">
        <v>8.0</v>
      </c>
      <c r="F41" s="95">
        <v>4.38</v>
      </c>
      <c r="G41" s="96">
        <v>6.009635833087E12</v>
      </c>
      <c r="H41" s="97">
        <v>6.009635833094E12</v>
      </c>
      <c r="I41" s="98"/>
      <c r="J41" s="18"/>
      <c r="K41" s="18"/>
      <c r="L41" s="9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93" t="s">
        <v>265</v>
      </c>
      <c r="B42" s="61" t="s">
        <v>266</v>
      </c>
      <c r="C42" s="94">
        <v>160.0</v>
      </c>
      <c r="D42" s="94">
        <v>20.0</v>
      </c>
      <c r="E42" s="94">
        <v>8.0</v>
      </c>
      <c r="F42" s="95">
        <v>4.96</v>
      </c>
      <c r="G42" s="96">
        <v>6.009801541655E12</v>
      </c>
      <c r="H42" s="97">
        <v>6.009801541662E12</v>
      </c>
      <c r="I42" s="98"/>
      <c r="J42" s="18"/>
      <c r="K42" s="18"/>
      <c r="L42" s="9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93" t="s">
        <v>267</v>
      </c>
      <c r="B43" s="61" t="s">
        <v>268</v>
      </c>
      <c r="C43" s="94">
        <v>160.0</v>
      </c>
      <c r="D43" s="94">
        <v>10.0</v>
      </c>
      <c r="E43" s="94">
        <v>16.0</v>
      </c>
      <c r="F43" s="95">
        <v>4.96</v>
      </c>
      <c r="G43" s="96">
        <v>6.009608648489E12</v>
      </c>
      <c r="H43" s="97">
        <v>6.009608648496E12</v>
      </c>
      <c r="I43" s="98"/>
      <c r="J43" s="18"/>
      <c r="K43" s="18"/>
      <c r="L43" s="9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93" t="s">
        <v>269</v>
      </c>
      <c r="B44" s="61" t="s">
        <v>270</v>
      </c>
      <c r="C44" s="94">
        <v>160.0</v>
      </c>
      <c r="D44" s="94">
        <v>10.0</v>
      </c>
      <c r="E44" s="94">
        <v>16.0</v>
      </c>
      <c r="F44" s="95">
        <v>4.96</v>
      </c>
      <c r="G44" s="96">
        <v>6.009608648465E12</v>
      </c>
      <c r="H44" s="97">
        <v>6.009608648472E12</v>
      </c>
      <c r="I44" s="98"/>
      <c r="J44" s="18"/>
      <c r="K44" s="18"/>
      <c r="L44" s="9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99"/>
      <c r="B45" s="61"/>
      <c r="C45" s="94"/>
      <c r="D45" s="94"/>
      <c r="E45" s="94"/>
      <c r="F45" s="95"/>
      <c r="G45" s="96"/>
      <c r="H45" s="97"/>
      <c r="I45" s="98"/>
      <c r="J45" s="18"/>
      <c r="K45" s="18"/>
      <c r="L45" s="9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02"/>
      <c r="B46" s="101" t="s">
        <v>271</v>
      </c>
      <c r="C46" s="103"/>
      <c r="D46" s="103"/>
      <c r="E46" s="103"/>
      <c r="F46" s="95"/>
      <c r="G46" s="96"/>
      <c r="H46" s="97"/>
      <c r="I46" s="98"/>
      <c r="J46" s="18"/>
      <c r="K46" s="18"/>
      <c r="L46" s="9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93" t="s">
        <v>272</v>
      </c>
      <c r="B47" s="61" t="s">
        <v>273</v>
      </c>
      <c r="C47" s="94">
        <v>600.0</v>
      </c>
      <c r="D47" s="94">
        <f t="shared" ref="D47:D48" si="7">+C47/E47</f>
        <v>25</v>
      </c>
      <c r="E47" s="94">
        <v>24.0</v>
      </c>
      <c r="F47" s="95">
        <v>1.52</v>
      </c>
      <c r="G47" s="96">
        <v>6.009635830239E12</v>
      </c>
      <c r="H47" s="97">
        <v>6.009635830246E12</v>
      </c>
      <c r="I47" s="98"/>
      <c r="J47" s="18"/>
      <c r="K47" s="18"/>
      <c r="L47" s="9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93" t="s">
        <v>274</v>
      </c>
      <c r="B48" s="61" t="s">
        <v>275</v>
      </c>
      <c r="C48" s="94">
        <v>500.0</v>
      </c>
      <c r="D48" s="94">
        <f t="shared" si="7"/>
        <v>25</v>
      </c>
      <c r="E48" s="94">
        <v>20.0</v>
      </c>
      <c r="F48" s="95">
        <v>1.84</v>
      </c>
      <c r="G48" s="96">
        <v>6.009635830307E12</v>
      </c>
      <c r="H48" s="97">
        <v>6.009635830291E12</v>
      </c>
      <c r="I48" s="98"/>
      <c r="J48" s="18"/>
      <c r="K48" s="18"/>
      <c r="L48" s="9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93" t="s">
        <v>276</v>
      </c>
      <c r="B49" s="61" t="s">
        <v>277</v>
      </c>
      <c r="C49" s="94">
        <v>500.0</v>
      </c>
      <c r="D49" s="94">
        <v>25.0</v>
      </c>
      <c r="E49" s="94">
        <v>20.0</v>
      </c>
      <c r="F49" s="95">
        <v>2.03</v>
      </c>
      <c r="G49" s="96">
        <v>6.009635833674E12</v>
      </c>
      <c r="H49" s="97">
        <v>6.009635833667E12</v>
      </c>
      <c r="I49" s="98"/>
      <c r="J49" s="18"/>
      <c r="K49" s="18"/>
      <c r="L49" s="9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93" t="s">
        <v>278</v>
      </c>
      <c r="B50" s="61" t="s">
        <v>279</v>
      </c>
      <c r="C50" s="94">
        <v>320.0</v>
      </c>
      <c r="D50" s="94">
        <f t="shared" ref="D50:D52" si="8">+C50/E50</f>
        <v>20</v>
      </c>
      <c r="E50" s="94">
        <v>16.0</v>
      </c>
      <c r="F50" s="95">
        <v>2.5399999999999996</v>
      </c>
      <c r="G50" s="96">
        <v>6.009635830369E12</v>
      </c>
      <c r="H50" s="97">
        <v>6.009635830352E12</v>
      </c>
      <c r="I50" s="98"/>
      <c r="J50" s="18"/>
      <c r="K50" s="18"/>
      <c r="L50" s="9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93" t="s">
        <v>280</v>
      </c>
      <c r="B51" s="61" t="s">
        <v>281</v>
      </c>
      <c r="C51" s="94">
        <v>320.0</v>
      </c>
      <c r="D51" s="94">
        <f t="shared" si="8"/>
        <v>20</v>
      </c>
      <c r="E51" s="94">
        <v>16.0</v>
      </c>
      <c r="F51" s="95">
        <v>2.5399999999999996</v>
      </c>
      <c r="G51" s="96">
        <v>6.009635830406E12</v>
      </c>
      <c r="H51" s="97">
        <v>6.00963583039E12</v>
      </c>
      <c r="I51" s="98"/>
      <c r="J51" s="18"/>
      <c r="K51" s="18"/>
      <c r="L51" s="9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93" t="s">
        <v>282</v>
      </c>
      <c r="B52" s="61" t="s">
        <v>283</v>
      </c>
      <c r="C52" s="94">
        <v>320.0</v>
      </c>
      <c r="D52" s="94">
        <f t="shared" si="8"/>
        <v>20</v>
      </c>
      <c r="E52" s="94">
        <v>16.0</v>
      </c>
      <c r="F52" s="95">
        <v>2.5399999999999996</v>
      </c>
      <c r="G52" s="96">
        <v>6.009635830383E12</v>
      </c>
      <c r="H52" s="97">
        <v>6.009635830376E12</v>
      </c>
      <c r="I52" s="98"/>
      <c r="J52" s="18"/>
      <c r="K52" s="18"/>
      <c r="L52" s="9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93" t="s">
        <v>284</v>
      </c>
      <c r="B53" s="61" t="s">
        <v>285</v>
      </c>
      <c r="C53" s="94">
        <v>320.0</v>
      </c>
      <c r="D53" s="94">
        <v>20.0</v>
      </c>
      <c r="E53" s="94">
        <v>16.0</v>
      </c>
      <c r="F53" s="95">
        <v>2.5399999999999996</v>
      </c>
      <c r="G53" s="96">
        <v>6.00963583547E12</v>
      </c>
      <c r="H53" s="97">
        <v>6.009635835401E12</v>
      </c>
      <c r="I53" s="98"/>
      <c r="J53" s="18"/>
      <c r="K53" s="18"/>
      <c r="L53" s="9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99"/>
      <c r="B54" s="61"/>
      <c r="C54" s="94"/>
      <c r="D54" s="94"/>
      <c r="E54" s="94"/>
      <c r="F54" s="95"/>
      <c r="G54" s="96"/>
      <c r="H54" s="97"/>
      <c r="I54" s="98"/>
      <c r="J54" s="18"/>
      <c r="K54" s="18"/>
      <c r="L54" s="9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99"/>
      <c r="B55" s="101" t="s">
        <v>286</v>
      </c>
      <c r="C55" s="94"/>
      <c r="D55" s="94"/>
      <c r="E55" s="94"/>
      <c r="F55" s="95"/>
      <c r="G55" s="96"/>
      <c r="H55" s="97"/>
      <c r="I55" s="98"/>
      <c r="J55" s="18"/>
      <c r="K55" s="18"/>
      <c r="L55" s="9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93" t="s">
        <v>287</v>
      </c>
      <c r="B56" s="61" t="s">
        <v>288</v>
      </c>
      <c r="C56" s="94">
        <v>160.0</v>
      </c>
      <c r="D56" s="94">
        <v>10.0</v>
      </c>
      <c r="E56" s="94">
        <v>16.0</v>
      </c>
      <c r="F56" s="95">
        <v>5.37</v>
      </c>
      <c r="G56" s="96">
        <v>6.009635830963E12</v>
      </c>
      <c r="H56" s="97">
        <v>6.009608647758E12</v>
      </c>
      <c r="I56" s="98"/>
      <c r="J56" s="18"/>
      <c r="K56" s="18"/>
      <c r="L56" s="9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93" t="s">
        <v>289</v>
      </c>
      <c r="B57" s="61" t="s">
        <v>290</v>
      </c>
      <c r="C57" s="94">
        <v>160.0</v>
      </c>
      <c r="D57" s="94">
        <v>10.0</v>
      </c>
      <c r="E57" s="94">
        <v>16.0</v>
      </c>
      <c r="F57" s="95">
        <v>5.37</v>
      </c>
      <c r="G57" s="96">
        <v>6.009635830949E12</v>
      </c>
      <c r="H57" s="97">
        <v>6.009608647765E12</v>
      </c>
      <c r="I57" s="98"/>
      <c r="J57" s="18"/>
      <c r="K57" s="18"/>
      <c r="L57" s="9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93" t="s">
        <v>291</v>
      </c>
      <c r="B58" s="61" t="s">
        <v>292</v>
      </c>
      <c r="C58" s="94">
        <v>160.0</v>
      </c>
      <c r="D58" s="94">
        <v>10.0</v>
      </c>
      <c r="E58" s="94">
        <v>16.0</v>
      </c>
      <c r="F58" s="95">
        <v>5.37</v>
      </c>
      <c r="G58" s="96">
        <v>6.009635830994E12</v>
      </c>
      <c r="H58" s="97">
        <v>6.009608647772E12</v>
      </c>
      <c r="I58" s="98"/>
      <c r="J58" s="18"/>
      <c r="K58" s="18"/>
      <c r="L58" s="9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93" t="s">
        <v>293</v>
      </c>
      <c r="B59" s="61" t="s">
        <v>294</v>
      </c>
      <c r="C59" s="94">
        <v>160.0</v>
      </c>
      <c r="D59" s="94">
        <v>10.0</v>
      </c>
      <c r="E59" s="94">
        <v>16.0</v>
      </c>
      <c r="F59" s="95">
        <v>5.37</v>
      </c>
      <c r="G59" s="96">
        <v>6.009635830437E12</v>
      </c>
      <c r="H59" s="97">
        <v>6.009608647789E12</v>
      </c>
      <c r="I59" s="98"/>
      <c r="J59" s="18"/>
      <c r="K59" s="18"/>
      <c r="L59" s="9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93" t="s">
        <v>295</v>
      </c>
      <c r="B60" s="61" t="s">
        <v>296</v>
      </c>
      <c r="C60" s="94">
        <v>160.0</v>
      </c>
      <c r="D60" s="94">
        <v>10.0</v>
      </c>
      <c r="E60" s="94">
        <v>16.0</v>
      </c>
      <c r="F60" s="95">
        <v>5.37</v>
      </c>
      <c r="G60" s="96">
        <v>6.009635830451E12</v>
      </c>
      <c r="H60" s="97">
        <v>6.009608647741E12</v>
      </c>
      <c r="I60" s="98"/>
      <c r="J60" s="18"/>
      <c r="K60" s="18"/>
      <c r="L60" s="9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99"/>
      <c r="B61" s="61"/>
      <c r="C61" s="94"/>
      <c r="D61" s="94"/>
      <c r="E61" s="94"/>
      <c r="F61" s="95"/>
      <c r="G61" s="96"/>
      <c r="H61" s="97"/>
      <c r="I61" s="98"/>
      <c r="J61" s="18"/>
      <c r="K61" s="18"/>
      <c r="L61" s="9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99"/>
      <c r="B62" s="101" t="s">
        <v>297</v>
      </c>
      <c r="C62" s="94"/>
      <c r="D62" s="94"/>
      <c r="E62" s="94"/>
      <c r="F62" s="95"/>
      <c r="G62" s="96"/>
      <c r="H62" s="97"/>
      <c r="I62" s="98"/>
      <c r="J62" s="18"/>
      <c r="K62" s="18"/>
      <c r="L62" s="9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93" t="s">
        <v>298</v>
      </c>
      <c r="B63" s="61" t="s">
        <v>299</v>
      </c>
      <c r="C63" s="94">
        <v>240.0</v>
      </c>
      <c r="D63" s="94">
        <v>20.0</v>
      </c>
      <c r="E63" s="94">
        <v>12.0</v>
      </c>
      <c r="F63" s="95">
        <v>13.1</v>
      </c>
      <c r="G63" s="96">
        <v>6.009635844083E12</v>
      </c>
      <c r="H63" s="97">
        <v>6.009635844434E12</v>
      </c>
      <c r="I63" s="98"/>
      <c r="J63" s="18"/>
      <c r="K63" s="18"/>
      <c r="L63" s="9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04" t="s">
        <v>300</v>
      </c>
      <c r="B64" s="105" t="s">
        <v>301</v>
      </c>
      <c r="C64" s="106">
        <v>240.0</v>
      </c>
      <c r="D64" s="106">
        <v>20.0</v>
      </c>
      <c r="E64" s="106">
        <v>12.0</v>
      </c>
      <c r="F64" s="107">
        <v>10.379999999999999</v>
      </c>
      <c r="G64" s="108">
        <v>6.009698068549E12</v>
      </c>
      <c r="H64" s="109">
        <v>6.009698068556E12</v>
      </c>
      <c r="I64" s="98"/>
      <c r="J64" s="18"/>
      <c r="K64" s="18"/>
      <c r="L64" s="9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10"/>
      <c r="B65" s="88" t="s">
        <v>302</v>
      </c>
      <c r="C65" s="89"/>
      <c r="D65" s="89"/>
      <c r="E65" s="89"/>
      <c r="F65" s="111"/>
      <c r="G65" s="91"/>
      <c r="H65" s="92"/>
      <c r="I65" s="98"/>
      <c r="J65" s="18"/>
      <c r="K65" s="18"/>
      <c r="L65" s="9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93" t="s">
        <v>303</v>
      </c>
      <c r="B66" s="61" t="s">
        <v>304</v>
      </c>
      <c r="C66" s="94">
        <v>250.0</v>
      </c>
      <c r="D66" s="94">
        <f t="shared" ref="D66:D69" si="9">+C66/E66</f>
        <v>25</v>
      </c>
      <c r="E66" s="94">
        <v>10.0</v>
      </c>
      <c r="F66" s="95">
        <v>11.29</v>
      </c>
      <c r="G66" s="96">
        <v>6.009698062707E12</v>
      </c>
      <c r="H66" s="97">
        <v>6.009635831809E12</v>
      </c>
      <c r="I66" s="98"/>
      <c r="J66" s="18"/>
      <c r="K66" s="18"/>
      <c r="L66" s="9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93" t="s">
        <v>305</v>
      </c>
      <c r="B67" s="61" t="s">
        <v>306</v>
      </c>
      <c r="C67" s="94">
        <v>300.0</v>
      </c>
      <c r="D67" s="94">
        <f t="shared" si="9"/>
        <v>25</v>
      </c>
      <c r="E67" s="94">
        <v>12.0</v>
      </c>
      <c r="F67" s="95">
        <v>8.56</v>
      </c>
      <c r="G67" s="96">
        <v>6.009698062714E12</v>
      </c>
      <c r="H67" s="97">
        <v>6.009635831823E12</v>
      </c>
      <c r="I67" s="98"/>
      <c r="J67" s="18"/>
      <c r="K67" s="18"/>
      <c r="L67" s="9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93" t="s">
        <v>307</v>
      </c>
      <c r="B68" s="61" t="s">
        <v>308</v>
      </c>
      <c r="C68" s="94">
        <v>100.0</v>
      </c>
      <c r="D68" s="94">
        <f t="shared" si="9"/>
        <v>10</v>
      </c>
      <c r="E68" s="94">
        <v>10.0</v>
      </c>
      <c r="F68" s="95">
        <v>30.17</v>
      </c>
      <c r="G68" s="96">
        <v>6.009635830116E12</v>
      </c>
      <c r="H68" s="97">
        <v>6.009635830147E12</v>
      </c>
      <c r="I68" s="98"/>
      <c r="J68" s="18"/>
      <c r="K68" s="18"/>
      <c r="L68" s="9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93" t="s">
        <v>309</v>
      </c>
      <c r="B69" s="61" t="s">
        <v>310</v>
      </c>
      <c r="C69" s="94">
        <v>100.0</v>
      </c>
      <c r="D69" s="94">
        <f t="shared" si="9"/>
        <v>10</v>
      </c>
      <c r="E69" s="94">
        <v>10.0</v>
      </c>
      <c r="F69" s="95">
        <v>29.220000000000002</v>
      </c>
      <c r="G69" s="96">
        <v>6.009698062721E12</v>
      </c>
      <c r="H69" s="97">
        <v>6.009685851628E12</v>
      </c>
      <c r="I69" s="98"/>
      <c r="J69" s="18"/>
      <c r="K69" s="18"/>
      <c r="L69" s="9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99"/>
      <c r="B70" s="61"/>
      <c r="C70" s="94"/>
      <c r="D70" s="94"/>
      <c r="E70" s="94"/>
      <c r="F70" s="95"/>
      <c r="G70" s="96"/>
      <c r="H70" s="97"/>
      <c r="I70" s="98"/>
      <c r="J70" s="18"/>
      <c r="K70" s="18"/>
      <c r="L70" s="9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99"/>
      <c r="B71" s="101" t="s">
        <v>311</v>
      </c>
      <c r="C71" s="94"/>
      <c r="D71" s="94"/>
      <c r="E71" s="94"/>
      <c r="F71" s="95"/>
      <c r="G71" s="96"/>
      <c r="H71" s="97"/>
      <c r="I71" s="98"/>
      <c r="J71" s="18"/>
      <c r="K71" s="18"/>
      <c r="L71" s="9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93" t="s">
        <v>312</v>
      </c>
      <c r="B72" s="61" t="s">
        <v>313</v>
      </c>
      <c r="C72" s="94">
        <v>300.0</v>
      </c>
      <c r="D72" s="94">
        <f>+C72/E72</f>
        <v>25</v>
      </c>
      <c r="E72" s="94">
        <v>12.0</v>
      </c>
      <c r="F72" s="95">
        <v>5.95</v>
      </c>
      <c r="G72" s="96">
        <v>6.009635830635E12</v>
      </c>
      <c r="H72" s="97">
        <v>6.009635830628E12</v>
      </c>
      <c r="I72" s="98"/>
      <c r="J72" s="18"/>
      <c r="K72" s="18"/>
      <c r="L72" s="9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99"/>
      <c r="B73" s="61"/>
      <c r="C73" s="94"/>
      <c r="D73" s="94"/>
      <c r="E73" s="94"/>
      <c r="F73" s="95"/>
      <c r="G73" s="96"/>
      <c r="H73" s="97"/>
      <c r="I73" s="98"/>
      <c r="J73" s="18"/>
      <c r="K73" s="18"/>
      <c r="L73" s="9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99"/>
      <c r="B74" s="101" t="s">
        <v>314</v>
      </c>
      <c r="C74" s="94"/>
      <c r="D74" s="94"/>
      <c r="E74" s="94"/>
      <c r="F74" s="95"/>
      <c r="G74" s="96"/>
      <c r="H74" s="97"/>
      <c r="I74" s="98"/>
      <c r="J74" s="18"/>
      <c r="K74" s="18"/>
      <c r="L74" s="9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93" t="s">
        <v>315</v>
      </c>
      <c r="B75" s="61" t="s">
        <v>316</v>
      </c>
      <c r="C75" s="94">
        <v>120.0</v>
      </c>
      <c r="D75" s="94">
        <v>10.0</v>
      </c>
      <c r="E75" s="94">
        <v>12.0</v>
      </c>
      <c r="F75" s="95">
        <v>13.92</v>
      </c>
      <c r="G75" s="96">
        <v>6.009685858849E12</v>
      </c>
      <c r="H75" s="97">
        <v>6.009685858887E12</v>
      </c>
      <c r="I75" s="98"/>
      <c r="J75" s="18"/>
      <c r="K75" s="18"/>
      <c r="L75" s="9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93" t="s">
        <v>317</v>
      </c>
      <c r="B76" s="61" t="s">
        <v>318</v>
      </c>
      <c r="C76" s="94">
        <v>100.0</v>
      </c>
      <c r="D76" s="94">
        <f t="shared" ref="D76:D77" si="10">+C76/E76</f>
        <v>5</v>
      </c>
      <c r="E76" s="94">
        <v>20.0</v>
      </c>
      <c r="F76" s="95">
        <v>23.490000000000002</v>
      </c>
      <c r="G76" s="96">
        <v>6.009685858832E12</v>
      </c>
      <c r="H76" s="97">
        <v>6.00968585887E12</v>
      </c>
      <c r="I76" s="98"/>
      <c r="J76" s="18"/>
      <c r="K76" s="18"/>
      <c r="L76" s="9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93" t="s">
        <v>319</v>
      </c>
      <c r="B77" s="61" t="s">
        <v>320</v>
      </c>
      <c r="C77" s="94">
        <v>50.0</v>
      </c>
      <c r="D77" s="94">
        <f t="shared" si="10"/>
        <v>5</v>
      </c>
      <c r="E77" s="94">
        <v>10.0</v>
      </c>
      <c r="F77" s="95">
        <v>34.19</v>
      </c>
      <c r="G77" s="96">
        <v>6.009685858825E12</v>
      </c>
      <c r="H77" s="97">
        <v>6.009685858863E12</v>
      </c>
      <c r="I77" s="98"/>
      <c r="J77" s="18"/>
      <c r="K77" s="18"/>
      <c r="L77" s="9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99"/>
      <c r="B78" s="61"/>
      <c r="C78" s="94"/>
      <c r="D78" s="94"/>
      <c r="E78" s="94"/>
      <c r="F78" s="95"/>
      <c r="G78" s="96"/>
      <c r="H78" s="97"/>
      <c r="I78" s="98"/>
      <c r="J78" s="18"/>
      <c r="K78" s="18"/>
      <c r="L78" s="9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99"/>
      <c r="B79" s="101" t="s">
        <v>321</v>
      </c>
      <c r="C79" s="94"/>
      <c r="D79" s="94"/>
      <c r="E79" s="94"/>
      <c r="F79" s="95"/>
      <c r="G79" s="96"/>
      <c r="H79" s="97"/>
      <c r="I79" s="98"/>
      <c r="J79" s="18"/>
      <c r="K79" s="18"/>
      <c r="L79" s="9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93" t="s">
        <v>322</v>
      </c>
      <c r="B80" s="61" t="s">
        <v>323</v>
      </c>
      <c r="C80" s="94">
        <v>160.0</v>
      </c>
      <c r="D80" s="94">
        <f t="shared" ref="D80:D81" si="11">+C80/E80</f>
        <v>20</v>
      </c>
      <c r="E80" s="94">
        <v>8.0</v>
      </c>
      <c r="F80" s="95">
        <v>3.92</v>
      </c>
      <c r="G80" s="96">
        <v>6.009635831731E12</v>
      </c>
      <c r="H80" s="97">
        <v>6.009635831724E12</v>
      </c>
      <c r="I80" s="98"/>
      <c r="J80" s="18"/>
      <c r="K80" s="18"/>
      <c r="L80" s="9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93" t="s">
        <v>324</v>
      </c>
      <c r="B81" s="61" t="s">
        <v>325</v>
      </c>
      <c r="C81" s="94">
        <v>160.0</v>
      </c>
      <c r="D81" s="94">
        <f t="shared" si="11"/>
        <v>20</v>
      </c>
      <c r="E81" s="94">
        <v>8.0</v>
      </c>
      <c r="F81" s="95">
        <v>3.92</v>
      </c>
      <c r="G81" s="96">
        <v>6.009635831427E12</v>
      </c>
      <c r="H81" s="97">
        <v>6.009635831434E12</v>
      </c>
      <c r="I81" s="98"/>
      <c r="J81" s="18"/>
      <c r="K81" s="18"/>
      <c r="L81" s="9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99"/>
      <c r="B82" s="61"/>
      <c r="C82" s="94"/>
      <c r="D82" s="94"/>
      <c r="E82" s="94"/>
      <c r="F82" s="95"/>
      <c r="G82" s="96"/>
      <c r="H82" s="97"/>
      <c r="I82" s="98"/>
      <c r="J82" s="18"/>
      <c r="K82" s="18"/>
      <c r="L82" s="9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99"/>
      <c r="B83" s="101" t="s">
        <v>326</v>
      </c>
      <c r="C83" s="94"/>
      <c r="D83" s="94"/>
      <c r="E83" s="94"/>
      <c r="F83" s="95"/>
      <c r="G83" s="96"/>
      <c r="H83" s="97"/>
      <c r="I83" s="98"/>
      <c r="J83" s="18"/>
      <c r="K83" s="18"/>
      <c r="L83" s="9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93" t="s">
        <v>327</v>
      </c>
      <c r="B84" s="61" t="s">
        <v>328</v>
      </c>
      <c r="C84" s="94">
        <v>1000.0</v>
      </c>
      <c r="D84" s="94">
        <f t="shared" ref="D84:D86" si="12">+C84/E84</f>
        <v>25</v>
      </c>
      <c r="E84" s="94">
        <v>40.0</v>
      </c>
      <c r="F84" s="95">
        <v>1.7</v>
      </c>
      <c r="G84" s="96">
        <v>6.009635830055E12</v>
      </c>
      <c r="H84" s="97">
        <v>6.009635830086E12</v>
      </c>
      <c r="I84" s="98"/>
      <c r="J84" s="18"/>
      <c r="K84" s="18"/>
      <c r="L84" s="9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93" t="s">
        <v>329</v>
      </c>
      <c r="B85" s="61" t="s">
        <v>330</v>
      </c>
      <c r="C85" s="94">
        <v>600.0</v>
      </c>
      <c r="D85" s="94">
        <f t="shared" si="12"/>
        <v>25</v>
      </c>
      <c r="E85" s="94">
        <v>24.0</v>
      </c>
      <c r="F85" s="95">
        <v>2.36</v>
      </c>
      <c r="G85" s="96">
        <v>6.009635830574E12</v>
      </c>
      <c r="H85" s="97">
        <v>6.009635830567E12</v>
      </c>
      <c r="I85" s="98"/>
      <c r="J85" s="18"/>
      <c r="K85" s="18"/>
      <c r="L85" s="9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93" t="s">
        <v>331</v>
      </c>
      <c r="B86" s="61" t="s">
        <v>332</v>
      </c>
      <c r="C86" s="94">
        <v>320.0</v>
      </c>
      <c r="D86" s="94">
        <f t="shared" si="12"/>
        <v>10</v>
      </c>
      <c r="E86" s="94">
        <v>32.0</v>
      </c>
      <c r="F86" s="95">
        <v>5.16</v>
      </c>
      <c r="G86" s="96">
        <v>6.009635830598E12</v>
      </c>
      <c r="H86" s="97">
        <v>6.009635830581E12</v>
      </c>
      <c r="I86" s="98"/>
      <c r="J86" s="18"/>
      <c r="K86" s="18"/>
      <c r="L86" s="9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93" t="s">
        <v>333</v>
      </c>
      <c r="B87" s="61" t="s">
        <v>334</v>
      </c>
      <c r="C87" s="94">
        <v>320.0</v>
      </c>
      <c r="D87" s="94">
        <v>10.0</v>
      </c>
      <c r="E87" s="94">
        <v>32.0</v>
      </c>
      <c r="F87" s="95">
        <v>7.04</v>
      </c>
      <c r="G87" s="96">
        <v>6.009635831038E12</v>
      </c>
      <c r="H87" s="97">
        <v>6.009635830987E12</v>
      </c>
      <c r="I87" s="98"/>
      <c r="J87" s="18"/>
      <c r="K87" s="18"/>
      <c r="L87" s="9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93" t="s">
        <v>335</v>
      </c>
      <c r="B88" s="61" t="s">
        <v>336</v>
      </c>
      <c r="C88" s="94">
        <v>240.0</v>
      </c>
      <c r="D88" s="94">
        <v>10.0</v>
      </c>
      <c r="E88" s="94">
        <v>24.0</v>
      </c>
      <c r="F88" s="95">
        <v>6.9399999999999995</v>
      </c>
      <c r="G88" s="96">
        <v>6.009685853431E12</v>
      </c>
      <c r="H88" s="97">
        <v>6.009685853448E12</v>
      </c>
      <c r="I88" s="98"/>
      <c r="J88" s="18"/>
      <c r="K88" s="18"/>
      <c r="L88" s="9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99"/>
      <c r="B89" s="61"/>
      <c r="C89" s="94"/>
      <c r="D89" s="94"/>
      <c r="E89" s="94"/>
      <c r="F89" s="95"/>
      <c r="G89" s="96"/>
      <c r="H89" s="97"/>
      <c r="I89" s="98"/>
      <c r="J89" s="18"/>
      <c r="K89" s="18"/>
      <c r="L89" s="9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99"/>
      <c r="B90" s="101" t="s">
        <v>337</v>
      </c>
      <c r="C90" s="94"/>
      <c r="D90" s="94"/>
      <c r="E90" s="94"/>
      <c r="F90" s="95"/>
      <c r="G90" s="96"/>
      <c r="H90" s="97"/>
      <c r="I90" s="98"/>
      <c r="J90" s="18"/>
      <c r="K90" s="18"/>
      <c r="L90" s="9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93" t="s">
        <v>338</v>
      </c>
      <c r="B91" s="61" t="s">
        <v>339</v>
      </c>
      <c r="C91" s="94">
        <v>120.0</v>
      </c>
      <c r="D91" s="94">
        <f t="shared" ref="D91:D92" si="13">+C91/E91</f>
        <v>20</v>
      </c>
      <c r="E91" s="94">
        <v>6.0</v>
      </c>
      <c r="F91" s="95">
        <v>7.43</v>
      </c>
      <c r="G91" s="96">
        <v>6.009635830659E12</v>
      </c>
      <c r="H91" s="97">
        <v>6.009635830642E12</v>
      </c>
      <c r="I91" s="98"/>
      <c r="J91" s="18"/>
      <c r="K91" s="18"/>
      <c r="L91" s="9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93" t="s">
        <v>340</v>
      </c>
      <c r="B92" s="61" t="s">
        <v>341</v>
      </c>
      <c r="C92" s="94">
        <v>120.0</v>
      </c>
      <c r="D92" s="94">
        <f t="shared" si="13"/>
        <v>20</v>
      </c>
      <c r="E92" s="94">
        <v>6.0</v>
      </c>
      <c r="F92" s="95">
        <v>7.43</v>
      </c>
      <c r="G92" s="96">
        <v>6.009698062509E12</v>
      </c>
      <c r="H92" s="97">
        <v>6.009698062516E12</v>
      </c>
      <c r="I92" s="98"/>
      <c r="J92" s="18"/>
      <c r="K92" s="18"/>
      <c r="L92" s="9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99"/>
      <c r="B93" s="61"/>
      <c r="C93" s="94"/>
      <c r="D93" s="94"/>
      <c r="E93" s="94"/>
      <c r="F93" s="95"/>
      <c r="G93" s="96"/>
      <c r="H93" s="97"/>
      <c r="I93" s="98"/>
      <c r="J93" s="18"/>
      <c r="K93" s="18"/>
      <c r="L93" s="9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99"/>
      <c r="B94" s="100" t="s">
        <v>342</v>
      </c>
      <c r="C94" s="94"/>
      <c r="D94" s="94"/>
      <c r="E94" s="94"/>
      <c r="F94" s="95"/>
      <c r="G94" s="96"/>
      <c r="H94" s="97"/>
      <c r="I94" s="98"/>
      <c r="J94" s="18"/>
      <c r="K94" s="18"/>
      <c r="L94" s="9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12" t="s">
        <v>343</v>
      </c>
      <c r="B95" s="61" t="s">
        <v>344</v>
      </c>
      <c r="C95" s="94">
        <v>12.0</v>
      </c>
      <c r="D95" s="94">
        <v>1.0</v>
      </c>
      <c r="E95" s="94">
        <v>12.0</v>
      </c>
      <c r="F95" s="95">
        <v>52.449999999999996</v>
      </c>
      <c r="G95" s="113">
        <v>6.009635830741E12</v>
      </c>
      <c r="H95" s="114"/>
      <c r="I95" s="98"/>
      <c r="J95" s="18"/>
      <c r="K95" s="18"/>
      <c r="L95" s="9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12" t="s">
        <v>345</v>
      </c>
      <c r="B96" s="61" t="s">
        <v>346</v>
      </c>
      <c r="C96" s="94">
        <v>12.0</v>
      </c>
      <c r="D96" s="94">
        <f t="shared" ref="D96:D97" si="14">+C96/E96</f>
        <v>1</v>
      </c>
      <c r="E96" s="94">
        <v>12.0</v>
      </c>
      <c r="F96" s="95">
        <v>57.14</v>
      </c>
      <c r="G96" s="113">
        <v>6.009635830727E12</v>
      </c>
      <c r="H96" s="114"/>
      <c r="I96" s="98"/>
      <c r="J96" s="18"/>
      <c r="K96" s="18"/>
      <c r="L96" s="9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12" t="s">
        <v>347</v>
      </c>
      <c r="B97" s="61" t="s">
        <v>348</v>
      </c>
      <c r="C97" s="94">
        <v>12.0</v>
      </c>
      <c r="D97" s="94">
        <f t="shared" si="14"/>
        <v>1</v>
      </c>
      <c r="E97" s="94">
        <v>12.0</v>
      </c>
      <c r="F97" s="95">
        <v>57.14</v>
      </c>
      <c r="G97" s="113">
        <v>6.009635830703E12</v>
      </c>
      <c r="H97" s="114"/>
      <c r="I97" s="98"/>
      <c r="J97" s="18"/>
      <c r="K97" s="18"/>
      <c r="L97" s="9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99"/>
      <c r="B98" s="61"/>
      <c r="C98" s="94"/>
      <c r="D98" s="94"/>
      <c r="E98" s="94"/>
      <c r="F98" s="95"/>
      <c r="G98" s="96"/>
      <c r="H98" s="97"/>
      <c r="I98" s="98"/>
      <c r="J98" s="18"/>
      <c r="K98" s="18"/>
      <c r="L98" s="9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99"/>
      <c r="B99" s="101" t="s">
        <v>349</v>
      </c>
      <c r="C99" s="94"/>
      <c r="D99" s="94"/>
      <c r="E99" s="94"/>
      <c r="F99" s="95"/>
      <c r="G99" s="96"/>
      <c r="H99" s="97"/>
      <c r="I99" s="98"/>
      <c r="J99" s="18"/>
      <c r="K99" s="18"/>
      <c r="L99" s="9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93" t="s">
        <v>350</v>
      </c>
      <c r="B100" s="61" t="s">
        <v>351</v>
      </c>
      <c r="C100" s="94">
        <v>100.0</v>
      </c>
      <c r="D100" s="94">
        <v>10.0</v>
      </c>
      <c r="E100" s="94">
        <v>10.0</v>
      </c>
      <c r="F100" s="95">
        <v>31.16</v>
      </c>
      <c r="G100" s="96">
        <v>6.009699519248E12</v>
      </c>
      <c r="H100" s="97">
        <v>6.009699519255E12</v>
      </c>
      <c r="I100" s="98"/>
      <c r="J100" s="18"/>
      <c r="K100" s="18"/>
      <c r="L100" s="9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93" t="s">
        <v>352</v>
      </c>
      <c r="B101" s="61" t="s">
        <v>353</v>
      </c>
      <c r="C101" s="94">
        <v>30.0</v>
      </c>
      <c r="D101" s="94">
        <v>5.0</v>
      </c>
      <c r="E101" s="94">
        <v>6.0</v>
      </c>
      <c r="F101" s="95">
        <v>80.64</v>
      </c>
      <c r="G101" s="96">
        <v>6.009698068808E12</v>
      </c>
      <c r="H101" s="97">
        <v>6.009698067023E12</v>
      </c>
      <c r="I101" s="98"/>
      <c r="J101" s="18"/>
      <c r="K101" s="18"/>
      <c r="L101" s="9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99"/>
      <c r="B102" s="61"/>
      <c r="C102" s="94"/>
      <c r="D102" s="94"/>
      <c r="E102" s="94"/>
      <c r="F102" s="95"/>
      <c r="G102" s="96"/>
      <c r="H102" s="97"/>
      <c r="I102" s="98"/>
      <c r="J102" s="18"/>
      <c r="K102" s="18"/>
      <c r="L102" s="9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99"/>
      <c r="B103" s="100" t="s">
        <v>354</v>
      </c>
      <c r="C103" s="94"/>
      <c r="D103" s="94"/>
      <c r="E103" s="94"/>
      <c r="F103" s="95"/>
      <c r="G103" s="96"/>
      <c r="H103" s="97"/>
      <c r="I103" s="98"/>
      <c r="J103" s="18"/>
      <c r="K103" s="18"/>
      <c r="L103" s="9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93" t="s">
        <v>355</v>
      </c>
      <c r="B104" s="61" t="s">
        <v>356</v>
      </c>
      <c r="C104" s="94">
        <v>96.0</v>
      </c>
      <c r="D104" s="94">
        <v>16.0</v>
      </c>
      <c r="E104" s="94">
        <v>6.0</v>
      </c>
      <c r="F104" s="95">
        <v>49.76</v>
      </c>
      <c r="G104" s="96">
        <v>6.009608649929E12</v>
      </c>
      <c r="H104" s="97">
        <v>6.00960864995E12</v>
      </c>
      <c r="I104" s="98"/>
      <c r="J104" s="18"/>
      <c r="K104" s="18"/>
      <c r="L104" s="9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99"/>
      <c r="B105" s="61"/>
      <c r="C105" s="94"/>
      <c r="D105" s="94"/>
      <c r="E105" s="94"/>
      <c r="F105" s="95"/>
      <c r="G105" s="96"/>
      <c r="H105" s="97"/>
      <c r="I105" s="98"/>
      <c r="J105" s="18"/>
      <c r="K105" s="18"/>
      <c r="L105" s="9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45"/>
      <c r="B106" s="101" t="s">
        <v>173</v>
      </c>
      <c r="C106" s="94"/>
      <c r="D106" s="94"/>
      <c r="E106" s="94"/>
      <c r="F106" s="95"/>
      <c r="G106" s="96"/>
      <c r="H106" s="97"/>
      <c r="I106" s="98"/>
      <c r="J106" s="18"/>
      <c r="K106" s="18"/>
      <c r="L106" s="9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15" t="s">
        <v>357</v>
      </c>
      <c r="B107" s="61" t="s">
        <v>358</v>
      </c>
      <c r="C107" s="94">
        <v>50.0</v>
      </c>
      <c r="D107" s="94">
        <v>5.0</v>
      </c>
      <c r="E107" s="94">
        <v>10.0</v>
      </c>
      <c r="F107" s="95">
        <v>15.36</v>
      </c>
      <c r="G107" s="96">
        <v>6.009698067917E12</v>
      </c>
      <c r="H107" s="97">
        <v>6.0096980679E12</v>
      </c>
      <c r="I107" s="98"/>
      <c r="J107" s="18"/>
      <c r="K107" s="18"/>
      <c r="L107" s="9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15" t="s">
        <v>359</v>
      </c>
      <c r="B108" s="61" t="s">
        <v>360</v>
      </c>
      <c r="C108" s="94">
        <v>72.0</v>
      </c>
      <c r="D108" s="94">
        <v>12.0</v>
      </c>
      <c r="E108" s="94">
        <v>6.0</v>
      </c>
      <c r="F108" s="95">
        <v>17.5</v>
      </c>
      <c r="G108" s="96">
        <v>6.009699513864E12</v>
      </c>
      <c r="H108" s="97">
        <v>6.009699513871E12</v>
      </c>
      <c r="I108" s="98"/>
      <c r="J108" s="18"/>
      <c r="K108" s="18"/>
      <c r="L108" s="9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15" t="s">
        <v>361</v>
      </c>
      <c r="B109" s="61" t="s">
        <v>362</v>
      </c>
      <c r="C109" s="94">
        <v>144.0</v>
      </c>
      <c r="D109" s="94">
        <v>12.0</v>
      </c>
      <c r="E109" s="94">
        <v>12.0</v>
      </c>
      <c r="F109" s="95">
        <v>7.63</v>
      </c>
      <c r="G109" s="96">
        <v>6.009685857286E12</v>
      </c>
      <c r="H109" s="97">
        <v>6.009685854452E12</v>
      </c>
      <c r="I109" s="98"/>
      <c r="J109" s="18"/>
      <c r="K109" s="18"/>
      <c r="L109" s="9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15" t="s">
        <v>363</v>
      </c>
      <c r="B110" s="61" t="s">
        <v>364</v>
      </c>
      <c r="C110" s="94">
        <v>144.0</v>
      </c>
      <c r="D110" s="94">
        <v>12.0</v>
      </c>
      <c r="E110" s="94">
        <v>12.0</v>
      </c>
      <c r="F110" s="95">
        <v>8.86</v>
      </c>
      <c r="G110" s="96">
        <v>6.009699519224E12</v>
      </c>
      <c r="H110" s="97">
        <v>6.009699519231E12</v>
      </c>
      <c r="I110" s="98"/>
      <c r="J110" s="18"/>
      <c r="K110" s="18"/>
      <c r="L110" s="9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15" t="s">
        <v>365</v>
      </c>
      <c r="B111" s="61" t="s">
        <v>366</v>
      </c>
      <c r="C111" s="94">
        <v>144.0</v>
      </c>
      <c r="D111" s="94">
        <v>12.0</v>
      </c>
      <c r="E111" s="94">
        <v>12.0</v>
      </c>
      <c r="F111" s="95">
        <v>7.029999999999999</v>
      </c>
      <c r="G111" s="96">
        <v>6.009685857316E12</v>
      </c>
      <c r="H111" s="97">
        <v>6.009697791363E12</v>
      </c>
      <c r="I111" s="98"/>
      <c r="J111" s="18"/>
      <c r="K111" s="18"/>
      <c r="L111" s="9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15" t="s">
        <v>367</v>
      </c>
      <c r="B112" s="61" t="s">
        <v>368</v>
      </c>
      <c r="C112" s="94">
        <v>288.0</v>
      </c>
      <c r="D112" s="94">
        <v>12.0</v>
      </c>
      <c r="E112" s="94">
        <v>24.0</v>
      </c>
      <c r="F112" s="95">
        <v>3.1799999999999997</v>
      </c>
      <c r="G112" s="96">
        <v>6.009685857347E12</v>
      </c>
      <c r="H112" s="97">
        <v>6.00969779137E12</v>
      </c>
      <c r="I112" s="98"/>
      <c r="J112" s="18"/>
      <c r="K112" s="18"/>
      <c r="L112" s="9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93" t="s">
        <v>369</v>
      </c>
      <c r="B113" s="61" t="s">
        <v>370</v>
      </c>
      <c r="C113" s="94">
        <v>72.0</v>
      </c>
      <c r="D113" s="94">
        <v>12.0</v>
      </c>
      <c r="E113" s="94">
        <v>6.0</v>
      </c>
      <c r="F113" s="95">
        <v>29.85</v>
      </c>
      <c r="G113" s="96">
        <v>6.009699519262E12</v>
      </c>
      <c r="H113" s="97">
        <v>6.009699519279E12</v>
      </c>
      <c r="I113" s="98"/>
      <c r="J113" s="18"/>
      <c r="K113" s="18"/>
      <c r="L113" s="9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93" t="s">
        <v>371</v>
      </c>
      <c r="B114" s="61" t="s">
        <v>372</v>
      </c>
      <c r="C114" s="94">
        <v>144.0</v>
      </c>
      <c r="D114" s="94">
        <v>12.0</v>
      </c>
      <c r="E114" s="94">
        <v>12.0</v>
      </c>
      <c r="F114" s="95">
        <v>12.59</v>
      </c>
      <c r="G114" s="96">
        <v>6.009699519286E12</v>
      </c>
      <c r="H114" s="97">
        <v>6.009699519293E12</v>
      </c>
      <c r="I114" s="98"/>
      <c r="J114" s="18"/>
      <c r="K114" s="18"/>
      <c r="L114" s="9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93" t="s">
        <v>373</v>
      </c>
      <c r="B115" s="61" t="s">
        <v>374</v>
      </c>
      <c r="C115" s="94">
        <v>144.0</v>
      </c>
      <c r="D115" s="94">
        <v>12.0</v>
      </c>
      <c r="E115" s="94">
        <v>12.0</v>
      </c>
      <c r="F115" s="95">
        <v>7.24</v>
      </c>
      <c r="G115" s="96">
        <v>6.009699519309E12</v>
      </c>
      <c r="H115" s="97">
        <v>6.009699519316E12</v>
      </c>
      <c r="I115" s="98"/>
      <c r="J115" s="18"/>
      <c r="K115" s="18"/>
      <c r="L115" s="9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99"/>
      <c r="B116" s="61"/>
      <c r="C116" s="94"/>
      <c r="D116" s="94"/>
      <c r="E116" s="94"/>
      <c r="F116" s="116"/>
      <c r="G116" s="96"/>
      <c r="H116" s="97"/>
      <c r="I116" s="18"/>
      <c r="J116" s="18"/>
      <c r="K116" s="18"/>
      <c r="L116" s="9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17" t="s">
        <v>375</v>
      </c>
      <c r="B117" s="118"/>
      <c r="C117" s="118"/>
      <c r="D117" s="118"/>
      <c r="E117" s="118"/>
      <c r="F117" s="118"/>
      <c r="G117" s="118"/>
      <c r="H117" s="119"/>
      <c r="I117" s="18"/>
      <c r="J117" s="18"/>
      <c r="K117" s="18"/>
      <c r="L117" s="9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67"/>
      <c r="B118" s="33"/>
      <c r="C118" s="67"/>
      <c r="D118" s="67"/>
      <c r="E118" s="67"/>
      <c r="F118" s="71"/>
      <c r="G118" s="67"/>
      <c r="H118" s="67"/>
      <c r="I118" s="18"/>
      <c r="J118" s="18"/>
      <c r="K118" s="18"/>
      <c r="L118" s="9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67"/>
      <c r="B119" s="33"/>
      <c r="C119" s="67"/>
      <c r="D119" s="67"/>
      <c r="E119" s="67"/>
      <c r="F119" s="71"/>
      <c r="G119" s="67"/>
      <c r="H119" s="67"/>
      <c r="I119" s="18"/>
      <c r="J119" s="18"/>
      <c r="K119" s="18"/>
      <c r="L119" s="9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67"/>
      <c r="B120" s="33"/>
      <c r="C120" s="67"/>
      <c r="D120" s="67"/>
      <c r="E120" s="67"/>
      <c r="F120" s="71"/>
      <c r="G120" s="67"/>
      <c r="H120" s="67"/>
      <c r="I120" s="18"/>
      <c r="J120" s="18"/>
      <c r="K120" s="18"/>
      <c r="L120" s="9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3"/>
      <c r="B121" s="33"/>
      <c r="C121" s="73"/>
      <c r="D121" s="73"/>
      <c r="E121" s="73"/>
      <c r="F121" s="120"/>
      <c r="G121" s="121"/>
      <c r="H121" s="121"/>
      <c r="I121" s="122"/>
      <c r="J121" s="122"/>
      <c r="K121" s="18"/>
      <c r="L121" s="98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5.75" customHeight="1">
      <c r="A122" s="73"/>
      <c r="B122" s="33"/>
      <c r="C122" s="73"/>
      <c r="D122" s="73"/>
      <c r="E122" s="73"/>
      <c r="F122" s="120"/>
      <c r="G122" s="121"/>
      <c r="H122" s="121"/>
      <c r="I122" s="122"/>
      <c r="J122" s="122"/>
      <c r="K122" s="18"/>
      <c r="L122" s="98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5.75" customHeight="1">
      <c r="A123" s="73"/>
      <c r="B123" s="33"/>
      <c r="C123" s="73"/>
      <c r="D123" s="73"/>
      <c r="E123" s="73"/>
      <c r="F123" s="120"/>
      <c r="G123" s="121"/>
      <c r="H123" s="121"/>
      <c r="I123" s="122"/>
      <c r="J123" s="122"/>
      <c r="K123" s="18"/>
      <c r="L123" s="98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5.75" customHeight="1">
      <c r="A124" s="73"/>
      <c r="B124" s="33"/>
      <c r="C124" s="73"/>
      <c r="D124" s="73"/>
      <c r="E124" s="73"/>
      <c r="F124" s="120"/>
      <c r="G124" s="121"/>
      <c r="H124" s="121"/>
      <c r="I124" s="122"/>
      <c r="J124" s="122"/>
      <c r="K124" s="18"/>
      <c r="L124" s="98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5.75" customHeight="1">
      <c r="A125" s="73"/>
      <c r="B125" s="33"/>
      <c r="C125" s="73"/>
      <c r="D125" s="73"/>
      <c r="E125" s="73"/>
      <c r="F125" s="120"/>
      <c r="G125" s="73"/>
      <c r="H125" s="73"/>
      <c r="I125" s="122"/>
      <c r="J125" s="122"/>
      <c r="K125" s="18"/>
      <c r="L125" s="98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5.75" customHeight="1">
      <c r="A126" s="73"/>
      <c r="B126" s="33"/>
      <c r="C126" s="73"/>
      <c r="D126" s="73"/>
      <c r="E126" s="73"/>
      <c r="F126" s="120"/>
      <c r="G126" s="73"/>
      <c r="H126" s="73"/>
      <c r="I126" s="122"/>
      <c r="J126" s="122"/>
      <c r="K126" s="18"/>
      <c r="L126" s="98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5.75" customHeight="1">
      <c r="A127" s="73"/>
      <c r="B127" s="33"/>
      <c r="C127" s="73"/>
      <c r="D127" s="73"/>
      <c r="E127" s="73"/>
      <c r="F127" s="120"/>
      <c r="G127" s="73"/>
      <c r="H127" s="73"/>
      <c r="I127" s="122"/>
      <c r="J127" s="122"/>
      <c r="K127" s="18"/>
      <c r="L127" s="98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5.75" customHeight="1">
      <c r="A128" s="73"/>
      <c r="B128" s="33"/>
      <c r="C128" s="73"/>
      <c r="D128" s="73"/>
      <c r="E128" s="73"/>
      <c r="F128" s="120"/>
      <c r="G128" s="73"/>
      <c r="H128" s="73"/>
      <c r="I128" s="122"/>
      <c r="J128" s="122"/>
      <c r="K128" s="18"/>
      <c r="L128" s="98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5.75" customHeight="1">
      <c r="A129" s="73"/>
      <c r="B129" s="33"/>
      <c r="C129" s="73"/>
      <c r="D129" s="73"/>
      <c r="E129" s="73"/>
      <c r="F129" s="120"/>
      <c r="G129" s="73"/>
      <c r="H129" s="73"/>
      <c r="I129" s="122"/>
      <c r="J129" s="122"/>
      <c r="K129" s="18"/>
      <c r="L129" s="98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5.75" customHeight="1">
      <c r="A130" s="73"/>
      <c r="B130" s="33"/>
      <c r="C130" s="73"/>
      <c r="D130" s="73"/>
      <c r="E130" s="73"/>
      <c r="F130" s="120"/>
      <c r="G130" s="73"/>
      <c r="H130" s="73"/>
      <c r="I130" s="122"/>
      <c r="J130" s="122"/>
      <c r="K130" s="18"/>
      <c r="L130" s="98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5.75" customHeight="1">
      <c r="A131" s="73"/>
      <c r="B131" s="33"/>
      <c r="C131" s="73"/>
      <c r="D131" s="73"/>
      <c r="E131" s="73"/>
      <c r="F131" s="120"/>
      <c r="G131" s="73"/>
      <c r="H131" s="73"/>
      <c r="I131" s="122"/>
      <c r="J131" s="122"/>
      <c r="K131" s="18"/>
      <c r="L131" s="98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5.75" customHeight="1">
      <c r="A132" s="73"/>
      <c r="B132" s="33"/>
      <c r="C132" s="73"/>
      <c r="D132" s="73"/>
      <c r="E132" s="73"/>
      <c r="F132" s="120"/>
      <c r="G132" s="73"/>
      <c r="H132" s="73"/>
      <c r="I132" s="122"/>
      <c r="J132" s="122"/>
      <c r="K132" s="18"/>
      <c r="L132" s="98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5.75" customHeight="1">
      <c r="A133" s="73"/>
      <c r="B133" s="33"/>
      <c r="C133" s="73"/>
      <c r="D133" s="73"/>
      <c r="E133" s="73"/>
      <c r="F133" s="120"/>
      <c r="G133" s="73"/>
      <c r="H133" s="73"/>
      <c r="I133" s="122"/>
      <c r="J133" s="122"/>
      <c r="K133" s="18"/>
      <c r="L133" s="98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5.75" customHeight="1">
      <c r="A134" s="73"/>
      <c r="B134" s="33"/>
      <c r="C134" s="73"/>
      <c r="D134" s="73"/>
      <c r="E134" s="73"/>
      <c r="F134" s="120"/>
      <c r="G134" s="73"/>
      <c r="H134" s="73"/>
      <c r="I134" s="122"/>
      <c r="J134" s="122"/>
      <c r="K134" s="18"/>
      <c r="L134" s="98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5.75" customHeight="1">
      <c r="A135" s="73"/>
      <c r="B135" s="33"/>
      <c r="C135" s="73"/>
      <c r="D135" s="73"/>
      <c r="E135" s="73"/>
      <c r="F135" s="120"/>
      <c r="G135" s="73"/>
      <c r="H135" s="73"/>
      <c r="I135" s="122"/>
      <c r="J135" s="122"/>
      <c r="K135" s="18"/>
      <c r="L135" s="98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5.75" customHeight="1">
      <c r="A136" s="73"/>
      <c r="B136" s="33"/>
      <c r="C136" s="73"/>
      <c r="D136" s="73"/>
      <c r="E136" s="73"/>
      <c r="F136" s="120"/>
      <c r="G136" s="73"/>
      <c r="H136" s="73"/>
      <c r="I136" s="122"/>
      <c r="J136" s="122"/>
      <c r="K136" s="18"/>
      <c r="L136" s="98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5.75" customHeight="1">
      <c r="A137" s="73"/>
      <c r="B137" s="33"/>
      <c r="C137" s="73"/>
      <c r="D137" s="73"/>
      <c r="E137" s="73"/>
      <c r="F137" s="120"/>
      <c r="G137" s="73"/>
      <c r="H137" s="73"/>
      <c r="I137" s="122"/>
      <c r="J137" s="122"/>
      <c r="K137" s="18"/>
      <c r="L137" s="98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5.75" customHeight="1">
      <c r="A138" s="73"/>
      <c r="B138" s="33"/>
      <c r="C138" s="73"/>
      <c r="D138" s="73"/>
      <c r="E138" s="73"/>
      <c r="F138" s="120"/>
      <c r="G138" s="73"/>
      <c r="H138" s="73"/>
      <c r="I138" s="122"/>
      <c r="J138" s="122"/>
      <c r="K138" s="18"/>
      <c r="L138" s="98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5.75" customHeight="1">
      <c r="A139" s="73"/>
      <c r="B139" s="33"/>
      <c r="C139" s="73"/>
      <c r="D139" s="73"/>
      <c r="E139" s="73"/>
      <c r="F139" s="120"/>
      <c r="G139" s="73"/>
      <c r="H139" s="73"/>
      <c r="I139" s="122"/>
      <c r="J139" s="122"/>
      <c r="K139" s="18"/>
      <c r="L139" s="98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5.75" customHeight="1">
      <c r="A140" s="73"/>
      <c r="B140" s="33"/>
      <c r="C140" s="73"/>
      <c r="D140" s="73"/>
      <c r="E140" s="73"/>
      <c r="F140" s="120"/>
      <c r="G140" s="73"/>
      <c r="H140" s="73"/>
      <c r="I140" s="122"/>
      <c r="J140" s="122"/>
      <c r="K140" s="18"/>
      <c r="L140" s="98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5.75" customHeight="1">
      <c r="A141" s="73"/>
      <c r="B141" s="33"/>
      <c r="C141" s="73"/>
      <c r="D141" s="73"/>
      <c r="E141" s="73"/>
      <c r="F141" s="120"/>
      <c r="G141" s="73"/>
      <c r="H141" s="73"/>
      <c r="I141" s="122"/>
      <c r="J141" s="122"/>
      <c r="K141" s="18"/>
      <c r="L141" s="98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5.75" customHeight="1">
      <c r="A142" s="73"/>
      <c r="B142" s="33"/>
      <c r="C142" s="73"/>
      <c r="D142" s="73"/>
      <c r="E142" s="73"/>
      <c r="F142" s="120"/>
      <c r="G142" s="73"/>
      <c r="H142" s="73"/>
      <c r="I142" s="122"/>
      <c r="J142" s="122"/>
      <c r="K142" s="18"/>
      <c r="L142" s="98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5.75" customHeight="1">
      <c r="A143" s="73"/>
      <c r="B143" s="33"/>
      <c r="C143" s="73"/>
      <c r="D143" s="73"/>
      <c r="E143" s="73"/>
      <c r="F143" s="120"/>
      <c r="G143" s="73"/>
      <c r="H143" s="73"/>
      <c r="I143" s="122"/>
      <c r="J143" s="122"/>
      <c r="K143" s="18"/>
      <c r="L143" s="98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5.75" customHeight="1">
      <c r="A144" s="73"/>
      <c r="B144" s="33"/>
      <c r="C144" s="73"/>
      <c r="D144" s="73"/>
      <c r="E144" s="73"/>
      <c r="F144" s="120"/>
      <c r="G144" s="73"/>
      <c r="H144" s="73"/>
      <c r="I144" s="122"/>
      <c r="J144" s="122"/>
      <c r="K144" s="18"/>
      <c r="L144" s="98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5.75" customHeight="1">
      <c r="A145" s="73"/>
      <c r="B145" s="33"/>
      <c r="C145" s="73"/>
      <c r="D145" s="73"/>
      <c r="E145" s="73"/>
      <c r="F145" s="120"/>
      <c r="G145" s="73"/>
      <c r="H145" s="73"/>
      <c r="I145" s="122"/>
      <c r="J145" s="122"/>
      <c r="K145" s="18"/>
      <c r="L145" s="98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5.75" customHeight="1">
      <c r="A146" s="73"/>
      <c r="B146" s="33"/>
      <c r="C146" s="73"/>
      <c r="D146" s="73"/>
      <c r="E146" s="73"/>
      <c r="F146" s="120"/>
      <c r="G146" s="73"/>
      <c r="H146" s="73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5.75" customHeight="1">
      <c r="A147" s="73"/>
      <c r="B147" s="33"/>
      <c r="C147" s="73"/>
      <c r="D147" s="73"/>
      <c r="E147" s="73"/>
      <c r="F147" s="120"/>
      <c r="G147" s="73"/>
      <c r="H147" s="73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5.75" customHeight="1">
      <c r="A148" s="73"/>
      <c r="B148" s="33"/>
      <c r="C148" s="73"/>
      <c r="D148" s="73"/>
      <c r="E148" s="73"/>
      <c r="F148" s="120"/>
      <c r="G148" s="73"/>
      <c r="H148" s="73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5.75" customHeight="1">
      <c r="A149" s="73"/>
      <c r="B149" s="33"/>
      <c r="C149" s="73"/>
      <c r="D149" s="73"/>
      <c r="E149" s="73"/>
      <c r="F149" s="120"/>
      <c r="G149" s="73"/>
      <c r="H149" s="73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5.75" customHeight="1">
      <c r="A150" s="73"/>
      <c r="B150" s="33"/>
      <c r="C150" s="73"/>
      <c r="D150" s="73"/>
      <c r="E150" s="73"/>
      <c r="F150" s="120"/>
      <c r="G150" s="73"/>
      <c r="H150" s="73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5.75" customHeight="1">
      <c r="A151" s="73"/>
      <c r="B151" s="33"/>
      <c r="C151" s="73"/>
      <c r="D151" s="73"/>
      <c r="E151" s="73"/>
      <c r="F151" s="120"/>
      <c r="G151" s="73"/>
      <c r="H151" s="73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5.75" customHeight="1">
      <c r="A152" s="73"/>
      <c r="B152" s="33"/>
      <c r="C152" s="73"/>
      <c r="D152" s="73"/>
      <c r="E152" s="73"/>
      <c r="F152" s="120"/>
      <c r="G152" s="73"/>
      <c r="H152" s="73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5.75" customHeight="1">
      <c r="A153" s="73"/>
      <c r="B153" s="33"/>
      <c r="C153" s="73"/>
      <c r="D153" s="73"/>
      <c r="E153" s="73"/>
      <c r="F153" s="120"/>
      <c r="G153" s="73"/>
      <c r="H153" s="73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5.75" customHeight="1">
      <c r="A154" s="73"/>
      <c r="B154" s="33"/>
      <c r="C154" s="73"/>
      <c r="D154" s="73"/>
      <c r="E154" s="73"/>
      <c r="F154" s="120"/>
      <c r="G154" s="73"/>
      <c r="H154" s="73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5.75" customHeight="1">
      <c r="A155" s="73"/>
      <c r="B155" s="33"/>
      <c r="C155" s="73"/>
      <c r="D155" s="73"/>
      <c r="E155" s="73"/>
      <c r="F155" s="120"/>
      <c r="G155" s="73"/>
      <c r="H155" s="73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5.75" customHeight="1">
      <c r="A156" s="73"/>
      <c r="B156" s="33"/>
      <c r="C156" s="73"/>
      <c r="D156" s="73"/>
      <c r="E156" s="73"/>
      <c r="F156" s="120"/>
      <c r="G156" s="73"/>
      <c r="H156" s="73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5.75" customHeight="1">
      <c r="A157" s="73"/>
      <c r="B157" s="33"/>
      <c r="C157" s="73"/>
      <c r="D157" s="73"/>
      <c r="E157" s="73"/>
      <c r="F157" s="120"/>
      <c r="G157" s="73"/>
      <c r="H157" s="73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5.75" customHeight="1">
      <c r="A158" s="73"/>
      <c r="B158" s="33"/>
      <c r="C158" s="73"/>
      <c r="D158" s="73"/>
      <c r="E158" s="73"/>
      <c r="F158" s="120"/>
      <c r="G158" s="73"/>
      <c r="H158" s="73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5.75" customHeight="1">
      <c r="A159" s="73"/>
      <c r="B159" s="33"/>
      <c r="C159" s="73"/>
      <c r="D159" s="73"/>
      <c r="E159" s="73"/>
      <c r="F159" s="120"/>
      <c r="G159" s="73"/>
      <c r="H159" s="73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5.75" customHeight="1">
      <c r="A160" s="73"/>
      <c r="B160" s="33"/>
      <c r="C160" s="73"/>
      <c r="D160" s="73"/>
      <c r="E160" s="73"/>
      <c r="F160" s="120"/>
      <c r="G160" s="73"/>
      <c r="H160" s="73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5.75" customHeight="1">
      <c r="A161" s="73"/>
      <c r="B161" s="33"/>
      <c r="C161" s="73"/>
      <c r="D161" s="73"/>
      <c r="E161" s="73"/>
      <c r="F161" s="120"/>
      <c r="G161" s="73"/>
      <c r="H161" s="73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5.75" customHeight="1">
      <c r="A162" s="73"/>
      <c r="B162" s="33"/>
      <c r="C162" s="73"/>
      <c r="D162" s="73"/>
      <c r="E162" s="73"/>
      <c r="F162" s="120"/>
      <c r="G162" s="73"/>
      <c r="H162" s="73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5.75" customHeight="1">
      <c r="A163" s="73"/>
      <c r="B163" s="33"/>
      <c r="C163" s="73"/>
      <c r="D163" s="73"/>
      <c r="E163" s="73"/>
      <c r="F163" s="120"/>
      <c r="G163" s="73"/>
      <c r="H163" s="73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5.75" customHeight="1">
      <c r="A164" s="73"/>
      <c r="B164" s="33"/>
      <c r="C164" s="73"/>
      <c r="D164" s="73"/>
      <c r="E164" s="73"/>
      <c r="F164" s="120"/>
      <c r="G164" s="73"/>
      <c r="H164" s="73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5.75" customHeight="1">
      <c r="A165" s="73"/>
      <c r="B165" s="33"/>
      <c r="C165" s="73"/>
      <c r="D165" s="73"/>
      <c r="E165" s="73"/>
      <c r="F165" s="120"/>
      <c r="G165" s="73"/>
      <c r="H165" s="73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5.75" customHeight="1">
      <c r="A166" s="73"/>
      <c r="B166" s="33"/>
      <c r="C166" s="73"/>
      <c r="D166" s="73"/>
      <c r="E166" s="73"/>
      <c r="F166" s="120"/>
      <c r="G166" s="73"/>
      <c r="H166" s="73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5.75" customHeight="1">
      <c r="A167" s="73"/>
      <c r="B167" s="33"/>
      <c r="C167" s="73"/>
      <c r="D167" s="73"/>
      <c r="E167" s="73"/>
      <c r="F167" s="120"/>
      <c r="G167" s="73"/>
      <c r="H167" s="73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5.75" customHeight="1">
      <c r="A168" s="73"/>
      <c r="B168" s="33"/>
      <c r="C168" s="73"/>
      <c r="D168" s="73"/>
      <c r="E168" s="73"/>
      <c r="F168" s="120"/>
      <c r="G168" s="73"/>
      <c r="H168" s="73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5.75" customHeight="1">
      <c r="A169" s="73"/>
      <c r="B169" s="33"/>
      <c r="C169" s="73"/>
      <c r="D169" s="73"/>
      <c r="E169" s="73"/>
      <c r="F169" s="120"/>
      <c r="G169" s="73"/>
      <c r="H169" s="73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5.75" customHeight="1">
      <c r="A170" s="73"/>
      <c r="B170" s="33"/>
      <c r="C170" s="73"/>
      <c r="D170" s="73"/>
      <c r="E170" s="73"/>
      <c r="F170" s="120"/>
      <c r="G170" s="73"/>
      <c r="H170" s="73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5.75" customHeight="1">
      <c r="A171" s="73"/>
      <c r="B171" s="33"/>
      <c r="C171" s="73"/>
      <c r="D171" s="73"/>
      <c r="E171" s="73"/>
      <c r="F171" s="120"/>
      <c r="G171" s="73"/>
      <c r="H171" s="73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5.75" customHeight="1">
      <c r="A172" s="73"/>
      <c r="B172" s="33"/>
      <c r="C172" s="73"/>
      <c r="D172" s="73"/>
      <c r="E172" s="73"/>
      <c r="F172" s="120"/>
      <c r="G172" s="73"/>
      <c r="H172" s="73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5.75" customHeight="1">
      <c r="A173" s="73"/>
      <c r="B173" s="33"/>
      <c r="C173" s="73"/>
      <c r="D173" s="73"/>
      <c r="E173" s="73"/>
      <c r="F173" s="120"/>
      <c r="G173" s="73"/>
      <c r="H173" s="73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5.75" customHeight="1">
      <c r="A174" s="73"/>
      <c r="B174" s="33"/>
      <c r="C174" s="73"/>
      <c r="D174" s="73"/>
      <c r="E174" s="73"/>
      <c r="F174" s="120"/>
      <c r="G174" s="73"/>
      <c r="H174" s="73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5.75" customHeight="1">
      <c r="A175" s="73"/>
      <c r="B175" s="33"/>
      <c r="C175" s="73"/>
      <c r="D175" s="73"/>
      <c r="E175" s="73"/>
      <c r="F175" s="120"/>
      <c r="G175" s="73"/>
      <c r="H175" s="73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5.75" customHeight="1">
      <c r="A176" s="73"/>
      <c r="B176" s="33"/>
      <c r="C176" s="73"/>
      <c r="D176" s="73"/>
      <c r="E176" s="73"/>
      <c r="F176" s="120"/>
      <c r="G176" s="73"/>
      <c r="H176" s="73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5.75" customHeight="1">
      <c r="A177" s="73"/>
      <c r="B177" s="33"/>
      <c r="C177" s="73"/>
      <c r="D177" s="73"/>
      <c r="E177" s="73"/>
      <c r="F177" s="120"/>
      <c r="G177" s="73"/>
      <c r="H177" s="73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5.75" customHeight="1">
      <c r="A178" s="73"/>
      <c r="B178" s="33"/>
      <c r="C178" s="73"/>
      <c r="D178" s="73"/>
      <c r="E178" s="73"/>
      <c r="F178" s="120"/>
      <c r="G178" s="73"/>
      <c r="H178" s="73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5.75" customHeight="1">
      <c r="A179" s="73"/>
      <c r="B179" s="33"/>
      <c r="C179" s="73"/>
      <c r="D179" s="73"/>
      <c r="E179" s="73"/>
      <c r="F179" s="120"/>
      <c r="G179" s="73"/>
      <c r="H179" s="73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5.75" customHeight="1">
      <c r="A180" s="73"/>
      <c r="B180" s="33"/>
      <c r="C180" s="73"/>
      <c r="D180" s="73"/>
      <c r="E180" s="73"/>
      <c r="F180" s="120"/>
      <c r="G180" s="73"/>
      <c r="H180" s="73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5.75" customHeight="1">
      <c r="A181" s="73"/>
      <c r="B181" s="33"/>
      <c r="C181" s="73"/>
      <c r="D181" s="73"/>
      <c r="E181" s="73"/>
      <c r="F181" s="120"/>
      <c r="G181" s="73"/>
      <c r="H181" s="73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5.75" customHeight="1">
      <c r="A182" s="73"/>
      <c r="B182" s="33"/>
      <c r="C182" s="73"/>
      <c r="D182" s="73"/>
      <c r="E182" s="73"/>
      <c r="F182" s="120"/>
      <c r="G182" s="73"/>
      <c r="H182" s="73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5.75" customHeight="1">
      <c r="A183" s="73"/>
      <c r="B183" s="33"/>
      <c r="C183" s="73"/>
      <c r="D183" s="73"/>
      <c r="E183" s="73"/>
      <c r="F183" s="120"/>
      <c r="G183" s="73"/>
      <c r="H183" s="73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5.75" customHeight="1">
      <c r="A184" s="73"/>
      <c r="B184" s="33"/>
      <c r="C184" s="73"/>
      <c r="D184" s="73"/>
      <c r="E184" s="73"/>
      <c r="F184" s="120"/>
      <c r="G184" s="73"/>
      <c r="H184" s="73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5.75" customHeight="1">
      <c r="A185" s="73"/>
      <c r="B185" s="33"/>
      <c r="C185" s="73"/>
      <c r="D185" s="73"/>
      <c r="E185" s="73"/>
      <c r="F185" s="120"/>
      <c r="G185" s="73"/>
      <c r="H185" s="73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5.75" customHeight="1">
      <c r="A186" s="73"/>
      <c r="B186" s="33"/>
      <c r="C186" s="73"/>
      <c r="D186" s="73"/>
      <c r="E186" s="73"/>
      <c r="F186" s="120"/>
      <c r="G186" s="73"/>
      <c r="H186" s="73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5.75" customHeight="1">
      <c r="A187" s="73"/>
      <c r="B187" s="33"/>
      <c r="C187" s="73"/>
      <c r="D187" s="73"/>
      <c r="E187" s="73"/>
      <c r="F187" s="120"/>
      <c r="G187" s="73"/>
      <c r="H187" s="73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5.75" customHeight="1">
      <c r="A188" s="73"/>
      <c r="B188" s="33"/>
      <c r="C188" s="73"/>
      <c r="D188" s="73"/>
      <c r="E188" s="73"/>
      <c r="F188" s="120"/>
      <c r="G188" s="73"/>
      <c r="H188" s="73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5.75" customHeight="1">
      <c r="A189" s="73"/>
      <c r="B189" s="33"/>
      <c r="C189" s="73"/>
      <c r="D189" s="73"/>
      <c r="E189" s="73"/>
      <c r="F189" s="120"/>
      <c r="G189" s="73"/>
      <c r="H189" s="73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5.75" customHeight="1">
      <c r="A190" s="73"/>
      <c r="B190" s="33"/>
      <c r="C190" s="73"/>
      <c r="D190" s="73"/>
      <c r="E190" s="73"/>
      <c r="F190" s="120"/>
      <c r="G190" s="73"/>
      <c r="H190" s="73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5.75" customHeight="1">
      <c r="A191" s="73"/>
      <c r="B191" s="33"/>
      <c r="C191" s="73"/>
      <c r="D191" s="73"/>
      <c r="E191" s="73"/>
      <c r="F191" s="120"/>
      <c r="G191" s="73"/>
      <c r="H191" s="73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5.75" customHeight="1">
      <c r="A192" s="73"/>
      <c r="B192" s="33"/>
      <c r="C192" s="73"/>
      <c r="D192" s="73"/>
      <c r="E192" s="73"/>
      <c r="F192" s="120"/>
      <c r="G192" s="73"/>
      <c r="H192" s="73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5.75" customHeight="1">
      <c r="A193" s="73"/>
      <c r="B193" s="33"/>
      <c r="C193" s="73"/>
      <c r="D193" s="73"/>
      <c r="E193" s="73"/>
      <c r="F193" s="120"/>
      <c r="G193" s="73"/>
      <c r="H193" s="73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5.75" customHeight="1">
      <c r="A194" s="73"/>
      <c r="B194" s="33"/>
      <c r="C194" s="73"/>
      <c r="D194" s="73"/>
      <c r="E194" s="73"/>
      <c r="F194" s="120"/>
      <c r="G194" s="73"/>
      <c r="H194" s="73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5.75" customHeight="1">
      <c r="A195" s="73"/>
      <c r="B195" s="33"/>
      <c r="C195" s="73"/>
      <c r="D195" s="73"/>
      <c r="E195" s="73"/>
      <c r="F195" s="120"/>
      <c r="G195" s="73"/>
      <c r="H195" s="73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5.75" customHeight="1">
      <c r="A196" s="73"/>
      <c r="B196" s="33"/>
      <c r="C196" s="73"/>
      <c r="D196" s="73"/>
      <c r="E196" s="73"/>
      <c r="F196" s="120"/>
      <c r="G196" s="73"/>
      <c r="H196" s="73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5.75" customHeight="1">
      <c r="A197" s="73"/>
      <c r="B197" s="33"/>
      <c r="C197" s="73"/>
      <c r="D197" s="73"/>
      <c r="E197" s="73"/>
      <c r="F197" s="120"/>
      <c r="G197" s="73"/>
      <c r="H197" s="73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5.75" customHeight="1">
      <c r="A198" s="73"/>
      <c r="B198" s="33"/>
      <c r="C198" s="73"/>
      <c r="D198" s="73"/>
      <c r="E198" s="73"/>
      <c r="F198" s="120"/>
      <c r="G198" s="73"/>
      <c r="H198" s="73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5.75" customHeight="1">
      <c r="A199" s="73"/>
      <c r="B199" s="33"/>
      <c r="C199" s="73"/>
      <c r="D199" s="73"/>
      <c r="E199" s="73"/>
      <c r="F199" s="120"/>
      <c r="G199" s="73"/>
      <c r="H199" s="73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5.75" customHeight="1">
      <c r="A200" s="73"/>
      <c r="B200" s="33"/>
      <c r="C200" s="73"/>
      <c r="D200" s="73"/>
      <c r="E200" s="73"/>
      <c r="F200" s="120"/>
      <c r="G200" s="73"/>
      <c r="H200" s="73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5.75" customHeight="1">
      <c r="A201" s="73"/>
      <c r="B201" s="33"/>
      <c r="C201" s="73"/>
      <c r="D201" s="73"/>
      <c r="E201" s="73"/>
      <c r="F201" s="120"/>
      <c r="G201" s="73"/>
      <c r="H201" s="73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5.75" customHeight="1">
      <c r="A202" s="73"/>
      <c r="B202" s="33"/>
      <c r="C202" s="73"/>
      <c r="D202" s="73"/>
      <c r="E202" s="73"/>
      <c r="F202" s="120"/>
      <c r="G202" s="73"/>
      <c r="H202" s="73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5.75" customHeight="1">
      <c r="A203" s="73"/>
      <c r="B203" s="33"/>
      <c r="C203" s="73"/>
      <c r="D203" s="73"/>
      <c r="E203" s="73"/>
      <c r="F203" s="120"/>
      <c r="G203" s="73"/>
      <c r="H203" s="73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5.75" customHeight="1">
      <c r="A204" s="73"/>
      <c r="B204" s="33"/>
      <c r="C204" s="73"/>
      <c r="D204" s="73"/>
      <c r="E204" s="73"/>
      <c r="F204" s="120"/>
      <c r="G204" s="73"/>
      <c r="H204" s="73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5.75" customHeight="1">
      <c r="A205" s="73"/>
      <c r="B205" s="33"/>
      <c r="C205" s="73"/>
      <c r="D205" s="73"/>
      <c r="E205" s="73"/>
      <c r="F205" s="120"/>
      <c r="G205" s="73"/>
      <c r="H205" s="73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5.75" customHeight="1">
      <c r="A206" s="73"/>
      <c r="B206" s="33"/>
      <c r="C206" s="73"/>
      <c r="D206" s="73"/>
      <c r="E206" s="73"/>
      <c r="F206" s="120"/>
      <c r="G206" s="73"/>
      <c r="H206" s="73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5.75" customHeight="1">
      <c r="A207" s="73"/>
      <c r="B207" s="33"/>
      <c r="C207" s="73"/>
      <c r="D207" s="73"/>
      <c r="E207" s="73"/>
      <c r="F207" s="120"/>
      <c r="G207" s="73"/>
      <c r="H207" s="73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5.75" customHeight="1">
      <c r="A208" s="73"/>
      <c r="B208" s="33"/>
      <c r="C208" s="73"/>
      <c r="D208" s="73"/>
      <c r="E208" s="73"/>
      <c r="F208" s="120"/>
      <c r="G208" s="73"/>
      <c r="H208" s="73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5.75" customHeight="1">
      <c r="A209" s="73"/>
      <c r="B209" s="33"/>
      <c r="C209" s="73"/>
      <c r="D209" s="73"/>
      <c r="E209" s="73"/>
      <c r="F209" s="120"/>
      <c r="G209" s="73"/>
      <c r="H209" s="73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5.75" customHeight="1">
      <c r="A210" s="73"/>
      <c r="B210" s="33"/>
      <c r="C210" s="73"/>
      <c r="D210" s="73"/>
      <c r="E210" s="73"/>
      <c r="F210" s="120"/>
      <c r="G210" s="73"/>
      <c r="H210" s="73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5.75" customHeight="1">
      <c r="A211" s="73"/>
      <c r="B211" s="33"/>
      <c r="C211" s="73"/>
      <c r="D211" s="73"/>
      <c r="E211" s="73"/>
      <c r="F211" s="120"/>
      <c r="G211" s="73"/>
      <c r="H211" s="73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5.75" customHeight="1">
      <c r="A212" s="73"/>
      <c r="B212" s="33"/>
      <c r="C212" s="73"/>
      <c r="D212" s="73"/>
      <c r="E212" s="73"/>
      <c r="F212" s="120"/>
      <c r="G212" s="73"/>
      <c r="H212" s="73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5.75" customHeight="1">
      <c r="A213" s="73"/>
      <c r="B213" s="33"/>
      <c r="C213" s="73"/>
      <c r="D213" s="73"/>
      <c r="E213" s="73"/>
      <c r="F213" s="120"/>
      <c r="G213" s="73"/>
      <c r="H213" s="73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5.75" customHeight="1">
      <c r="A214" s="73"/>
      <c r="B214" s="33"/>
      <c r="C214" s="73"/>
      <c r="D214" s="73"/>
      <c r="E214" s="73"/>
      <c r="F214" s="120"/>
      <c r="G214" s="73"/>
      <c r="H214" s="73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5.75" customHeight="1">
      <c r="A215" s="73"/>
      <c r="B215" s="33"/>
      <c r="C215" s="73"/>
      <c r="D215" s="73"/>
      <c r="E215" s="73"/>
      <c r="F215" s="120"/>
      <c r="G215" s="73"/>
      <c r="H215" s="73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5.75" customHeight="1">
      <c r="A216" s="73"/>
      <c r="B216" s="33"/>
      <c r="C216" s="73"/>
      <c r="D216" s="73"/>
      <c r="E216" s="73"/>
      <c r="F216" s="120"/>
      <c r="G216" s="73"/>
      <c r="H216" s="73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5.75" customHeight="1">
      <c r="A217" s="73"/>
      <c r="B217" s="33"/>
      <c r="C217" s="73"/>
      <c r="D217" s="73"/>
      <c r="E217" s="73"/>
      <c r="F217" s="120"/>
      <c r="G217" s="73"/>
      <c r="H217" s="73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5.75" customHeight="1">
      <c r="A218" s="73"/>
      <c r="B218" s="33"/>
      <c r="C218" s="73"/>
      <c r="D218" s="73"/>
      <c r="E218" s="73"/>
      <c r="F218" s="120"/>
      <c r="G218" s="73"/>
      <c r="H218" s="73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5.75" customHeight="1">
      <c r="A219" s="73"/>
      <c r="B219" s="33"/>
      <c r="C219" s="73"/>
      <c r="D219" s="73"/>
      <c r="E219" s="73"/>
      <c r="F219" s="120"/>
      <c r="G219" s="73"/>
      <c r="H219" s="73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5.75" customHeight="1">
      <c r="A220" s="73"/>
      <c r="B220" s="33"/>
      <c r="C220" s="73"/>
      <c r="D220" s="73"/>
      <c r="E220" s="73"/>
      <c r="F220" s="120"/>
      <c r="G220" s="73"/>
      <c r="H220" s="73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5.75" customHeight="1">
      <c r="A221" s="73"/>
      <c r="B221" s="33"/>
      <c r="C221" s="73"/>
      <c r="D221" s="73"/>
      <c r="E221" s="73"/>
      <c r="F221" s="120"/>
      <c r="G221" s="73"/>
      <c r="H221" s="73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5.75" customHeight="1">
      <c r="A222" s="73"/>
      <c r="B222" s="33"/>
      <c r="C222" s="73"/>
      <c r="D222" s="73"/>
      <c r="E222" s="73"/>
      <c r="F222" s="120"/>
      <c r="G222" s="73"/>
      <c r="H222" s="73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5.75" customHeight="1">
      <c r="A223" s="73"/>
      <c r="B223" s="33"/>
      <c r="C223" s="73"/>
      <c r="D223" s="73"/>
      <c r="E223" s="73"/>
      <c r="F223" s="120"/>
      <c r="G223" s="73"/>
      <c r="H223" s="73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5.75" customHeight="1">
      <c r="A224" s="73"/>
      <c r="B224" s="33"/>
      <c r="C224" s="73"/>
      <c r="D224" s="73"/>
      <c r="E224" s="73"/>
      <c r="F224" s="120"/>
      <c r="G224" s="73"/>
      <c r="H224" s="73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5.75" customHeight="1">
      <c r="A225" s="73"/>
      <c r="B225" s="33"/>
      <c r="C225" s="73"/>
      <c r="D225" s="73"/>
      <c r="E225" s="73"/>
      <c r="F225" s="120"/>
      <c r="G225" s="73"/>
      <c r="H225" s="73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5.75" customHeight="1">
      <c r="A226" s="73"/>
      <c r="B226" s="33"/>
      <c r="C226" s="73"/>
      <c r="D226" s="73"/>
      <c r="E226" s="73"/>
      <c r="F226" s="120"/>
      <c r="G226" s="73"/>
      <c r="H226" s="73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5.75" customHeight="1">
      <c r="A227" s="73"/>
      <c r="B227" s="33"/>
      <c r="C227" s="73"/>
      <c r="D227" s="73"/>
      <c r="E227" s="73"/>
      <c r="F227" s="120"/>
      <c r="G227" s="73"/>
      <c r="H227" s="73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5.75" customHeight="1">
      <c r="A228" s="73"/>
      <c r="B228" s="33"/>
      <c r="C228" s="73"/>
      <c r="D228" s="73"/>
      <c r="E228" s="73"/>
      <c r="F228" s="120"/>
      <c r="G228" s="73"/>
      <c r="H228" s="73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5.75" customHeight="1">
      <c r="A229" s="73"/>
      <c r="B229" s="33"/>
      <c r="C229" s="73"/>
      <c r="D229" s="73"/>
      <c r="E229" s="73"/>
      <c r="F229" s="120"/>
      <c r="G229" s="73"/>
      <c r="H229" s="73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5.75" customHeight="1">
      <c r="A230" s="73"/>
      <c r="B230" s="33"/>
      <c r="C230" s="73"/>
      <c r="D230" s="73"/>
      <c r="E230" s="73"/>
      <c r="F230" s="120"/>
      <c r="G230" s="73"/>
      <c r="H230" s="73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5.75" customHeight="1">
      <c r="A231" s="73"/>
      <c r="B231" s="33"/>
      <c r="C231" s="73"/>
      <c r="D231" s="73"/>
      <c r="E231" s="73"/>
      <c r="F231" s="120"/>
      <c r="G231" s="73"/>
      <c r="H231" s="73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5.75" customHeight="1">
      <c r="A232" s="73"/>
      <c r="B232" s="33"/>
      <c r="C232" s="73"/>
      <c r="D232" s="73"/>
      <c r="E232" s="73"/>
      <c r="F232" s="120"/>
      <c r="G232" s="73"/>
      <c r="H232" s="73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5.75" customHeight="1">
      <c r="A233" s="73"/>
      <c r="B233" s="33"/>
      <c r="C233" s="73"/>
      <c r="D233" s="73"/>
      <c r="E233" s="73"/>
      <c r="F233" s="120"/>
      <c r="G233" s="73"/>
      <c r="H233" s="73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5.75" customHeight="1">
      <c r="A234" s="73"/>
      <c r="B234" s="33"/>
      <c r="C234" s="73"/>
      <c r="D234" s="73"/>
      <c r="E234" s="73"/>
      <c r="F234" s="120"/>
      <c r="G234" s="73"/>
      <c r="H234" s="73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5.75" customHeight="1">
      <c r="A235" s="73"/>
      <c r="B235" s="33"/>
      <c r="C235" s="73"/>
      <c r="D235" s="73"/>
      <c r="E235" s="73"/>
      <c r="F235" s="120"/>
      <c r="G235" s="73"/>
      <c r="H235" s="73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5.75" customHeight="1">
      <c r="A236" s="73"/>
      <c r="B236" s="33"/>
      <c r="C236" s="73"/>
      <c r="D236" s="73"/>
      <c r="E236" s="73"/>
      <c r="F236" s="120"/>
      <c r="G236" s="73"/>
      <c r="H236" s="73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5.75" customHeight="1">
      <c r="A237" s="73"/>
      <c r="B237" s="33"/>
      <c r="C237" s="73"/>
      <c r="D237" s="73"/>
      <c r="E237" s="73"/>
      <c r="F237" s="120"/>
      <c r="G237" s="73"/>
      <c r="H237" s="73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5.75" customHeight="1">
      <c r="A238" s="73"/>
      <c r="B238" s="33"/>
      <c r="C238" s="73"/>
      <c r="D238" s="73"/>
      <c r="E238" s="73"/>
      <c r="F238" s="120"/>
      <c r="G238" s="73"/>
      <c r="H238" s="73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5.75" customHeight="1">
      <c r="A239" s="73"/>
      <c r="B239" s="33"/>
      <c r="C239" s="73"/>
      <c r="D239" s="73"/>
      <c r="E239" s="73"/>
      <c r="F239" s="120"/>
      <c r="G239" s="73"/>
      <c r="H239" s="73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5.75" customHeight="1">
      <c r="A240" s="73"/>
      <c r="B240" s="33"/>
      <c r="C240" s="73"/>
      <c r="D240" s="73"/>
      <c r="E240" s="73"/>
      <c r="F240" s="120"/>
      <c r="G240" s="73"/>
      <c r="H240" s="73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5.75" customHeight="1">
      <c r="A241" s="73"/>
      <c r="B241" s="33"/>
      <c r="C241" s="73"/>
      <c r="D241" s="73"/>
      <c r="E241" s="73"/>
      <c r="F241" s="120"/>
      <c r="G241" s="73"/>
      <c r="H241" s="73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5.75" customHeight="1">
      <c r="A242" s="73"/>
      <c r="B242" s="33"/>
      <c r="C242" s="73"/>
      <c r="D242" s="73"/>
      <c r="E242" s="73"/>
      <c r="F242" s="120"/>
      <c r="G242" s="73"/>
      <c r="H242" s="73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5.75" customHeight="1">
      <c r="A243" s="73"/>
      <c r="B243" s="33"/>
      <c r="C243" s="73"/>
      <c r="D243" s="73"/>
      <c r="E243" s="73"/>
      <c r="F243" s="120"/>
      <c r="G243" s="73"/>
      <c r="H243" s="73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5.75" customHeight="1">
      <c r="A244" s="73"/>
      <c r="B244" s="33"/>
      <c r="C244" s="73"/>
      <c r="D244" s="73"/>
      <c r="E244" s="73"/>
      <c r="F244" s="120"/>
      <c r="G244" s="73"/>
      <c r="H244" s="73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5.75" customHeight="1">
      <c r="A245" s="73"/>
      <c r="B245" s="33"/>
      <c r="C245" s="73"/>
      <c r="D245" s="73"/>
      <c r="E245" s="73"/>
      <c r="F245" s="120"/>
      <c r="G245" s="73"/>
      <c r="H245" s="73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5.75" customHeight="1">
      <c r="A246" s="73"/>
      <c r="B246" s="33"/>
      <c r="C246" s="73"/>
      <c r="D246" s="73"/>
      <c r="E246" s="73"/>
      <c r="F246" s="120"/>
      <c r="G246" s="73"/>
      <c r="H246" s="73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5.75" customHeight="1">
      <c r="A247" s="73"/>
      <c r="B247" s="33"/>
      <c r="C247" s="73"/>
      <c r="D247" s="73"/>
      <c r="E247" s="73"/>
      <c r="F247" s="120"/>
      <c r="G247" s="73"/>
      <c r="H247" s="73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5.75" customHeight="1">
      <c r="A248" s="73"/>
      <c r="B248" s="33"/>
      <c r="C248" s="73"/>
      <c r="D248" s="73"/>
      <c r="E248" s="73"/>
      <c r="F248" s="120"/>
      <c r="G248" s="73"/>
      <c r="H248" s="73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5.75" customHeight="1">
      <c r="A249" s="73"/>
      <c r="B249" s="33"/>
      <c r="C249" s="73"/>
      <c r="D249" s="73"/>
      <c r="E249" s="73"/>
      <c r="F249" s="120"/>
      <c r="G249" s="73"/>
      <c r="H249" s="73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5.75" customHeight="1">
      <c r="A250" s="73"/>
      <c r="B250" s="33"/>
      <c r="C250" s="73"/>
      <c r="D250" s="73"/>
      <c r="E250" s="73"/>
      <c r="F250" s="120"/>
      <c r="G250" s="73"/>
      <c r="H250" s="73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5.75" customHeight="1">
      <c r="A251" s="73"/>
      <c r="B251" s="33"/>
      <c r="C251" s="73"/>
      <c r="D251" s="73"/>
      <c r="E251" s="73"/>
      <c r="F251" s="120"/>
      <c r="G251" s="73"/>
      <c r="H251" s="73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5.75" customHeight="1">
      <c r="A252" s="73"/>
      <c r="B252" s="33"/>
      <c r="C252" s="73"/>
      <c r="D252" s="73"/>
      <c r="E252" s="73"/>
      <c r="F252" s="120"/>
      <c r="G252" s="73"/>
      <c r="H252" s="73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5.75" customHeight="1">
      <c r="A253" s="73"/>
      <c r="B253" s="33"/>
      <c r="C253" s="73"/>
      <c r="D253" s="73"/>
      <c r="E253" s="73"/>
      <c r="F253" s="120"/>
      <c r="G253" s="73"/>
      <c r="H253" s="73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5.75" customHeight="1">
      <c r="A254" s="73"/>
      <c r="B254" s="33"/>
      <c r="C254" s="73"/>
      <c r="D254" s="73"/>
      <c r="E254" s="73"/>
      <c r="F254" s="120"/>
      <c r="G254" s="73"/>
      <c r="H254" s="73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5.75" customHeight="1">
      <c r="A255" s="73"/>
      <c r="B255" s="33"/>
      <c r="C255" s="73"/>
      <c r="D255" s="73"/>
      <c r="E255" s="73"/>
      <c r="F255" s="120"/>
      <c r="G255" s="73"/>
      <c r="H255" s="73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5.75" customHeight="1">
      <c r="A256" s="73"/>
      <c r="B256" s="33"/>
      <c r="C256" s="73"/>
      <c r="D256" s="73"/>
      <c r="E256" s="73"/>
      <c r="F256" s="120"/>
      <c r="G256" s="73"/>
      <c r="H256" s="73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5.75" customHeight="1">
      <c r="A257" s="73"/>
      <c r="B257" s="33"/>
      <c r="C257" s="73"/>
      <c r="D257" s="73"/>
      <c r="E257" s="73"/>
      <c r="F257" s="120"/>
      <c r="G257" s="73"/>
      <c r="H257" s="73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5.75" customHeight="1">
      <c r="A258" s="73"/>
      <c r="B258" s="33"/>
      <c r="C258" s="73"/>
      <c r="D258" s="73"/>
      <c r="E258" s="73"/>
      <c r="F258" s="120"/>
      <c r="G258" s="73"/>
      <c r="H258" s="73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5.75" customHeight="1">
      <c r="A259" s="73"/>
      <c r="B259" s="33"/>
      <c r="C259" s="73"/>
      <c r="D259" s="73"/>
      <c r="E259" s="73"/>
      <c r="F259" s="120"/>
      <c r="G259" s="73"/>
      <c r="H259" s="73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5.75" customHeight="1">
      <c r="A260" s="73"/>
      <c r="B260" s="33"/>
      <c r="C260" s="73"/>
      <c r="D260" s="73"/>
      <c r="E260" s="73"/>
      <c r="F260" s="120"/>
      <c r="G260" s="73"/>
      <c r="H260" s="73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5.75" customHeight="1">
      <c r="A261" s="73"/>
      <c r="B261" s="33"/>
      <c r="C261" s="73"/>
      <c r="D261" s="73"/>
      <c r="E261" s="73"/>
      <c r="F261" s="120"/>
      <c r="G261" s="73"/>
      <c r="H261" s="73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5.75" customHeight="1">
      <c r="A262" s="73"/>
      <c r="B262" s="33"/>
      <c r="C262" s="73"/>
      <c r="D262" s="73"/>
      <c r="E262" s="73"/>
      <c r="F262" s="120"/>
      <c r="G262" s="73"/>
      <c r="H262" s="73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5.75" customHeight="1">
      <c r="A263" s="73"/>
      <c r="B263" s="33"/>
      <c r="C263" s="73"/>
      <c r="D263" s="73"/>
      <c r="E263" s="73"/>
      <c r="F263" s="120"/>
      <c r="G263" s="73"/>
      <c r="H263" s="73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5.75" customHeight="1">
      <c r="A264" s="73"/>
      <c r="B264" s="33"/>
      <c r="C264" s="73"/>
      <c r="D264" s="73"/>
      <c r="E264" s="73"/>
      <c r="F264" s="120"/>
      <c r="G264" s="73"/>
      <c r="H264" s="73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5.75" customHeight="1">
      <c r="A265" s="73"/>
      <c r="B265" s="33"/>
      <c r="C265" s="73"/>
      <c r="D265" s="73"/>
      <c r="E265" s="73"/>
      <c r="F265" s="120"/>
      <c r="G265" s="73"/>
      <c r="H265" s="73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5.75" customHeight="1">
      <c r="A266" s="73"/>
      <c r="B266" s="33"/>
      <c r="C266" s="73"/>
      <c r="D266" s="73"/>
      <c r="E266" s="73"/>
      <c r="F266" s="120"/>
      <c r="G266" s="73"/>
      <c r="H266" s="73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5.75" customHeight="1">
      <c r="A267" s="73"/>
      <c r="B267" s="33"/>
      <c r="C267" s="73"/>
      <c r="D267" s="73"/>
      <c r="E267" s="73"/>
      <c r="F267" s="120"/>
      <c r="G267" s="73"/>
      <c r="H267" s="73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5.75" customHeight="1">
      <c r="A268" s="73"/>
      <c r="B268" s="33"/>
      <c r="C268" s="73"/>
      <c r="D268" s="73"/>
      <c r="E268" s="73"/>
      <c r="F268" s="120"/>
      <c r="G268" s="73"/>
      <c r="H268" s="73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5.75" customHeight="1">
      <c r="A269" s="73"/>
      <c r="B269" s="33"/>
      <c r="C269" s="73"/>
      <c r="D269" s="73"/>
      <c r="E269" s="73"/>
      <c r="F269" s="120"/>
      <c r="G269" s="73"/>
      <c r="H269" s="73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5.75" customHeight="1">
      <c r="A270" s="73"/>
      <c r="B270" s="33"/>
      <c r="C270" s="73"/>
      <c r="D270" s="73"/>
      <c r="E270" s="73"/>
      <c r="F270" s="120"/>
      <c r="G270" s="73"/>
      <c r="H270" s="73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5.75" customHeight="1">
      <c r="A271" s="73"/>
      <c r="B271" s="33"/>
      <c r="C271" s="73"/>
      <c r="D271" s="73"/>
      <c r="E271" s="73"/>
      <c r="F271" s="120"/>
      <c r="G271" s="73"/>
      <c r="H271" s="73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5.75" customHeight="1">
      <c r="A272" s="73"/>
      <c r="B272" s="33"/>
      <c r="C272" s="73"/>
      <c r="D272" s="73"/>
      <c r="E272" s="73"/>
      <c r="F272" s="120"/>
      <c r="G272" s="73"/>
      <c r="H272" s="73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5.75" customHeight="1">
      <c r="A273" s="73"/>
      <c r="B273" s="33"/>
      <c r="C273" s="73"/>
      <c r="D273" s="73"/>
      <c r="E273" s="73"/>
      <c r="F273" s="120"/>
      <c r="G273" s="73"/>
      <c r="H273" s="73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5.75" customHeight="1">
      <c r="A274" s="73"/>
      <c r="B274" s="33"/>
      <c r="C274" s="73"/>
      <c r="D274" s="73"/>
      <c r="E274" s="73"/>
      <c r="F274" s="120"/>
      <c r="G274" s="73"/>
      <c r="H274" s="73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5.75" customHeight="1">
      <c r="A275" s="73"/>
      <c r="B275" s="33"/>
      <c r="C275" s="73"/>
      <c r="D275" s="73"/>
      <c r="E275" s="73"/>
      <c r="F275" s="120"/>
      <c r="G275" s="73"/>
      <c r="H275" s="73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5.75" customHeight="1">
      <c r="A276" s="73"/>
      <c r="B276" s="33"/>
      <c r="C276" s="73"/>
      <c r="D276" s="73"/>
      <c r="E276" s="73"/>
      <c r="F276" s="120"/>
      <c r="G276" s="73"/>
      <c r="H276" s="73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5.75" customHeight="1">
      <c r="A277" s="73"/>
      <c r="B277" s="33"/>
      <c r="C277" s="73"/>
      <c r="D277" s="73"/>
      <c r="E277" s="73"/>
      <c r="F277" s="120"/>
      <c r="G277" s="73"/>
      <c r="H277" s="73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5.75" customHeight="1">
      <c r="A278" s="73"/>
      <c r="B278" s="33"/>
      <c r="C278" s="73"/>
      <c r="D278" s="73"/>
      <c r="E278" s="73"/>
      <c r="F278" s="120"/>
      <c r="G278" s="73"/>
      <c r="H278" s="73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5.75" customHeight="1">
      <c r="A279" s="73"/>
      <c r="B279" s="33"/>
      <c r="C279" s="73"/>
      <c r="D279" s="73"/>
      <c r="E279" s="73"/>
      <c r="F279" s="120"/>
      <c r="G279" s="73"/>
      <c r="H279" s="73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5.75" customHeight="1">
      <c r="A280" s="73"/>
      <c r="B280" s="33"/>
      <c r="C280" s="73"/>
      <c r="D280" s="73"/>
      <c r="E280" s="73"/>
      <c r="F280" s="120"/>
      <c r="G280" s="73"/>
      <c r="H280" s="73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5.75" customHeight="1">
      <c r="A281" s="73"/>
      <c r="B281" s="33"/>
      <c r="C281" s="73"/>
      <c r="D281" s="73"/>
      <c r="E281" s="73"/>
      <c r="F281" s="120"/>
      <c r="G281" s="73"/>
      <c r="H281" s="73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5.75" customHeight="1">
      <c r="A282" s="73"/>
      <c r="B282" s="33"/>
      <c r="C282" s="73"/>
      <c r="D282" s="73"/>
      <c r="E282" s="73"/>
      <c r="F282" s="120"/>
      <c r="G282" s="73"/>
      <c r="H282" s="73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5.75" customHeight="1">
      <c r="A283" s="73"/>
      <c r="B283" s="33"/>
      <c r="C283" s="73"/>
      <c r="D283" s="73"/>
      <c r="E283" s="73"/>
      <c r="F283" s="120"/>
      <c r="G283" s="73"/>
      <c r="H283" s="73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5.75" customHeight="1">
      <c r="A284" s="73"/>
      <c r="B284" s="33"/>
      <c r="C284" s="73"/>
      <c r="D284" s="73"/>
      <c r="E284" s="73"/>
      <c r="F284" s="120"/>
      <c r="G284" s="73"/>
      <c r="H284" s="73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5.75" customHeight="1">
      <c r="A285" s="73"/>
      <c r="B285" s="33"/>
      <c r="C285" s="73"/>
      <c r="D285" s="73"/>
      <c r="E285" s="73"/>
      <c r="F285" s="120"/>
      <c r="G285" s="73"/>
      <c r="H285" s="73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5.75" customHeight="1">
      <c r="A286" s="73"/>
      <c r="B286" s="33"/>
      <c r="C286" s="73"/>
      <c r="D286" s="73"/>
      <c r="E286" s="73"/>
      <c r="F286" s="120"/>
      <c r="G286" s="73"/>
      <c r="H286" s="73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5.75" customHeight="1">
      <c r="A287" s="73"/>
      <c r="B287" s="33"/>
      <c r="C287" s="73"/>
      <c r="D287" s="73"/>
      <c r="E287" s="73"/>
      <c r="F287" s="120"/>
      <c r="G287" s="73"/>
      <c r="H287" s="73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5.75" customHeight="1">
      <c r="A288" s="73"/>
      <c r="B288" s="33"/>
      <c r="C288" s="73"/>
      <c r="D288" s="73"/>
      <c r="E288" s="73"/>
      <c r="F288" s="120"/>
      <c r="G288" s="73"/>
      <c r="H288" s="73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5.75" customHeight="1">
      <c r="A289" s="73"/>
      <c r="B289" s="33"/>
      <c r="C289" s="73"/>
      <c r="D289" s="73"/>
      <c r="E289" s="73"/>
      <c r="F289" s="120"/>
      <c r="G289" s="73"/>
      <c r="H289" s="73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5.75" customHeight="1">
      <c r="A290" s="73"/>
      <c r="B290" s="33"/>
      <c r="C290" s="73"/>
      <c r="D290" s="73"/>
      <c r="E290" s="73"/>
      <c r="F290" s="120"/>
      <c r="G290" s="73"/>
      <c r="H290" s="73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5.75" customHeight="1">
      <c r="A291" s="73"/>
      <c r="B291" s="33"/>
      <c r="C291" s="73"/>
      <c r="D291" s="73"/>
      <c r="E291" s="73"/>
      <c r="F291" s="120"/>
      <c r="G291" s="73"/>
      <c r="H291" s="73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5.75" customHeight="1">
      <c r="A292" s="73"/>
      <c r="B292" s="33"/>
      <c r="C292" s="73"/>
      <c r="D292" s="73"/>
      <c r="E292" s="73"/>
      <c r="F292" s="120"/>
      <c r="G292" s="73"/>
      <c r="H292" s="73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5.75" customHeight="1">
      <c r="A293" s="73"/>
      <c r="B293" s="33"/>
      <c r="C293" s="73"/>
      <c r="D293" s="73"/>
      <c r="E293" s="73"/>
      <c r="F293" s="120"/>
      <c r="G293" s="73"/>
      <c r="H293" s="73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5.75" customHeight="1">
      <c r="A294" s="73"/>
      <c r="B294" s="33"/>
      <c r="C294" s="73"/>
      <c r="D294" s="73"/>
      <c r="E294" s="73"/>
      <c r="F294" s="120"/>
      <c r="G294" s="73"/>
      <c r="H294" s="73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5.75" customHeight="1">
      <c r="A295" s="73"/>
      <c r="B295" s="33"/>
      <c r="C295" s="73"/>
      <c r="D295" s="73"/>
      <c r="E295" s="73"/>
      <c r="F295" s="120"/>
      <c r="G295" s="73"/>
      <c r="H295" s="73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5.75" customHeight="1">
      <c r="A296" s="73"/>
      <c r="B296" s="33"/>
      <c r="C296" s="73"/>
      <c r="D296" s="73"/>
      <c r="E296" s="73"/>
      <c r="F296" s="120"/>
      <c r="G296" s="73"/>
      <c r="H296" s="73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5.75" customHeight="1">
      <c r="A297" s="73"/>
      <c r="B297" s="33"/>
      <c r="C297" s="73"/>
      <c r="D297" s="73"/>
      <c r="E297" s="73"/>
      <c r="F297" s="120"/>
      <c r="G297" s="73"/>
      <c r="H297" s="73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5.75" customHeight="1">
      <c r="A298" s="73"/>
      <c r="B298" s="33"/>
      <c r="C298" s="73"/>
      <c r="D298" s="73"/>
      <c r="E298" s="73"/>
      <c r="F298" s="120"/>
      <c r="G298" s="73"/>
      <c r="H298" s="73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5.75" customHeight="1">
      <c r="A299" s="73"/>
      <c r="B299" s="33"/>
      <c r="C299" s="73"/>
      <c r="D299" s="73"/>
      <c r="E299" s="73"/>
      <c r="F299" s="120"/>
      <c r="G299" s="73"/>
      <c r="H299" s="73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5.75" customHeight="1">
      <c r="A300" s="73"/>
      <c r="B300" s="33"/>
      <c r="C300" s="73"/>
      <c r="D300" s="73"/>
      <c r="E300" s="73"/>
      <c r="F300" s="120"/>
      <c r="G300" s="73"/>
      <c r="H300" s="73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5.75" customHeight="1">
      <c r="A301" s="73"/>
      <c r="B301" s="33"/>
      <c r="C301" s="73"/>
      <c r="D301" s="73"/>
      <c r="E301" s="73"/>
      <c r="F301" s="120"/>
      <c r="G301" s="73"/>
      <c r="H301" s="73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5.75" customHeight="1">
      <c r="A302" s="73"/>
      <c r="B302" s="33"/>
      <c r="C302" s="73"/>
      <c r="D302" s="73"/>
      <c r="E302" s="73"/>
      <c r="F302" s="120"/>
      <c r="G302" s="73"/>
      <c r="H302" s="73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5.75" customHeight="1">
      <c r="A303" s="73"/>
      <c r="B303" s="33"/>
      <c r="C303" s="73"/>
      <c r="D303" s="73"/>
      <c r="E303" s="73"/>
      <c r="F303" s="120"/>
      <c r="G303" s="73"/>
      <c r="H303" s="73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5.75" customHeight="1">
      <c r="A304" s="73"/>
      <c r="B304" s="33"/>
      <c r="C304" s="73"/>
      <c r="D304" s="73"/>
      <c r="E304" s="73"/>
      <c r="F304" s="120"/>
      <c r="G304" s="73"/>
      <c r="H304" s="73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5.75" customHeight="1">
      <c r="A305" s="73"/>
      <c r="B305" s="33"/>
      <c r="C305" s="73"/>
      <c r="D305" s="73"/>
      <c r="E305" s="73"/>
      <c r="F305" s="120"/>
      <c r="G305" s="73"/>
      <c r="H305" s="73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5.75" customHeight="1">
      <c r="A306" s="73"/>
      <c r="B306" s="33"/>
      <c r="C306" s="73"/>
      <c r="D306" s="73"/>
      <c r="E306" s="73"/>
      <c r="F306" s="120"/>
      <c r="G306" s="73"/>
      <c r="H306" s="73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5.75" customHeight="1">
      <c r="A307" s="73"/>
      <c r="B307" s="33"/>
      <c r="C307" s="73"/>
      <c r="D307" s="73"/>
      <c r="E307" s="73"/>
      <c r="F307" s="120"/>
      <c r="G307" s="73"/>
      <c r="H307" s="73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5.75" customHeight="1">
      <c r="A308" s="73"/>
      <c r="B308" s="33"/>
      <c r="C308" s="73"/>
      <c r="D308" s="73"/>
      <c r="E308" s="73"/>
      <c r="F308" s="120"/>
      <c r="G308" s="73"/>
      <c r="H308" s="73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5.75" customHeight="1">
      <c r="A309" s="73"/>
      <c r="B309" s="33"/>
      <c r="C309" s="73"/>
      <c r="D309" s="73"/>
      <c r="E309" s="73"/>
      <c r="F309" s="120"/>
      <c r="G309" s="73"/>
      <c r="H309" s="73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5.75" customHeight="1">
      <c r="A310" s="73"/>
      <c r="B310" s="33"/>
      <c r="C310" s="73"/>
      <c r="D310" s="73"/>
      <c r="E310" s="73"/>
      <c r="F310" s="120"/>
      <c r="G310" s="73"/>
      <c r="H310" s="73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5.75" customHeight="1">
      <c r="A311" s="73"/>
      <c r="B311" s="33"/>
      <c r="C311" s="73"/>
      <c r="D311" s="73"/>
      <c r="E311" s="73"/>
      <c r="F311" s="120"/>
      <c r="G311" s="73"/>
      <c r="H311" s="73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5.75" customHeight="1">
      <c r="A312" s="73"/>
      <c r="B312" s="33"/>
      <c r="C312" s="73"/>
      <c r="D312" s="73"/>
      <c r="E312" s="73"/>
      <c r="F312" s="120"/>
      <c r="G312" s="73"/>
      <c r="H312" s="73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5.75" customHeight="1">
      <c r="A313" s="73"/>
      <c r="B313" s="33"/>
      <c r="C313" s="73"/>
      <c r="D313" s="73"/>
      <c r="E313" s="73"/>
      <c r="F313" s="120"/>
      <c r="G313" s="73"/>
      <c r="H313" s="73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5.75" customHeight="1">
      <c r="A314" s="73"/>
      <c r="B314" s="33"/>
      <c r="C314" s="73"/>
      <c r="D314" s="73"/>
      <c r="E314" s="73"/>
      <c r="F314" s="120"/>
      <c r="G314" s="73"/>
      <c r="H314" s="73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5.75" customHeight="1">
      <c r="A315" s="73"/>
      <c r="B315" s="33"/>
      <c r="C315" s="73"/>
      <c r="D315" s="73"/>
      <c r="E315" s="73"/>
      <c r="F315" s="120"/>
      <c r="G315" s="73"/>
      <c r="H315" s="73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5.75" customHeight="1">
      <c r="A316" s="73"/>
      <c r="B316" s="33"/>
      <c r="C316" s="73"/>
      <c r="D316" s="73"/>
      <c r="E316" s="73"/>
      <c r="F316" s="120"/>
      <c r="G316" s="73"/>
      <c r="H316" s="73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5.75" customHeight="1">
      <c r="A317" s="73"/>
      <c r="B317" s="33"/>
      <c r="C317" s="73"/>
      <c r="D317" s="73"/>
      <c r="E317" s="73"/>
      <c r="F317" s="120"/>
      <c r="G317" s="73"/>
      <c r="H317" s="73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5.7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5.7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5.7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5.7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5.7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5.7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5.75" customHeight="1">
      <c r="A324" s="67"/>
      <c r="B324" s="33"/>
      <c r="C324" s="67"/>
      <c r="D324" s="67"/>
      <c r="E324" s="67"/>
      <c r="F324" s="71"/>
      <c r="G324" s="73"/>
      <c r="H324" s="7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67"/>
      <c r="B325" s="33"/>
      <c r="C325" s="67"/>
      <c r="D325" s="67"/>
      <c r="E325" s="67"/>
      <c r="F325" s="71"/>
      <c r="G325" s="73"/>
      <c r="H325" s="7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67"/>
      <c r="B326" s="33"/>
      <c r="C326" s="67"/>
      <c r="D326" s="67"/>
      <c r="E326" s="67"/>
      <c r="F326" s="71"/>
      <c r="G326" s="73"/>
      <c r="H326" s="7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67"/>
      <c r="B327" s="33"/>
      <c r="C327" s="67"/>
      <c r="D327" s="67"/>
      <c r="E327" s="67"/>
      <c r="F327" s="71"/>
      <c r="G327" s="73"/>
      <c r="H327" s="7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67"/>
      <c r="B328" s="33"/>
      <c r="C328" s="67"/>
      <c r="D328" s="67"/>
      <c r="E328" s="67"/>
      <c r="F328" s="71"/>
      <c r="G328" s="73"/>
      <c r="H328" s="7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67"/>
      <c r="B329" s="33"/>
      <c r="C329" s="67"/>
      <c r="D329" s="67"/>
      <c r="E329" s="67"/>
      <c r="F329" s="71"/>
      <c r="G329" s="73"/>
      <c r="H329" s="7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67"/>
      <c r="B330" s="33"/>
      <c r="C330" s="67"/>
      <c r="D330" s="67"/>
      <c r="E330" s="67"/>
      <c r="F330" s="71"/>
      <c r="G330" s="73"/>
      <c r="H330" s="7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67"/>
      <c r="B331" s="33"/>
      <c r="C331" s="67"/>
      <c r="D331" s="67"/>
      <c r="E331" s="67"/>
      <c r="F331" s="71"/>
      <c r="G331" s="73"/>
      <c r="H331" s="7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67"/>
      <c r="B332" s="33"/>
      <c r="C332" s="67"/>
      <c r="D332" s="67"/>
      <c r="E332" s="67"/>
      <c r="F332" s="71"/>
      <c r="G332" s="73"/>
      <c r="H332" s="7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67"/>
      <c r="B333" s="33"/>
      <c r="C333" s="67"/>
      <c r="D333" s="67"/>
      <c r="E333" s="67"/>
      <c r="F333" s="71"/>
      <c r="G333" s="73"/>
      <c r="H333" s="7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67"/>
      <c r="B334" s="33"/>
      <c r="C334" s="67"/>
      <c r="D334" s="67"/>
      <c r="E334" s="67"/>
      <c r="F334" s="71"/>
      <c r="G334" s="73"/>
      <c r="H334" s="7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67"/>
      <c r="B335" s="33"/>
      <c r="C335" s="67"/>
      <c r="D335" s="67"/>
      <c r="E335" s="67"/>
      <c r="F335" s="71"/>
      <c r="G335" s="73"/>
      <c r="H335" s="7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67"/>
      <c r="B336" s="33"/>
      <c r="C336" s="67"/>
      <c r="D336" s="67"/>
      <c r="E336" s="67"/>
      <c r="F336" s="71"/>
      <c r="G336" s="73"/>
      <c r="H336" s="7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67"/>
      <c r="B337" s="33"/>
      <c r="C337" s="67"/>
      <c r="D337" s="67"/>
      <c r="E337" s="67"/>
      <c r="F337" s="71"/>
      <c r="G337" s="73"/>
      <c r="H337" s="7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67"/>
      <c r="B338" s="33"/>
      <c r="C338" s="67"/>
      <c r="D338" s="67"/>
      <c r="E338" s="67"/>
      <c r="F338" s="71"/>
      <c r="G338" s="73"/>
      <c r="H338" s="7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67"/>
      <c r="B339" s="33"/>
      <c r="C339" s="67"/>
      <c r="D339" s="67"/>
      <c r="E339" s="67"/>
      <c r="F339" s="71"/>
      <c r="G339" s="73"/>
      <c r="H339" s="7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67"/>
      <c r="B340" s="33"/>
      <c r="C340" s="67"/>
      <c r="D340" s="67"/>
      <c r="E340" s="67"/>
      <c r="F340" s="71"/>
      <c r="G340" s="73"/>
      <c r="H340" s="7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67"/>
      <c r="B341" s="33"/>
      <c r="C341" s="67"/>
      <c r="D341" s="67"/>
      <c r="E341" s="67"/>
      <c r="F341" s="71"/>
      <c r="G341" s="73"/>
      <c r="H341" s="7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67"/>
      <c r="B342" s="33"/>
      <c r="C342" s="67"/>
      <c r="D342" s="67"/>
      <c r="E342" s="67"/>
      <c r="F342" s="71"/>
      <c r="G342" s="73"/>
      <c r="H342" s="7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67"/>
      <c r="B343" s="33"/>
      <c r="C343" s="67"/>
      <c r="D343" s="67"/>
      <c r="E343" s="67"/>
      <c r="F343" s="71"/>
      <c r="G343" s="73"/>
      <c r="H343" s="7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67"/>
      <c r="B344" s="33"/>
      <c r="C344" s="67"/>
      <c r="D344" s="67"/>
      <c r="E344" s="67"/>
      <c r="F344" s="71"/>
      <c r="G344" s="73"/>
      <c r="H344" s="7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67"/>
      <c r="B345" s="33"/>
      <c r="C345" s="67"/>
      <c r="D345" s="67"/>
      <c r="E345" s="67"/>
      <c r="F345" s="71"/>
      <c r="G345" s="73"/>
      <c r="H345" s="7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67"/>
      <c r="B346" s="33"/>
      <c r="C346" s="67"/>
      <c r="D346" s="67"/>
      <c r="E346" s="67"/>
      <c r="F346" s="71"/>
      <c r="G346" s="73"/>
      <c r="H346" s="7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67"/>
      <c r="B347" s="33"/>
      <c r="C347" s="67"/>
      <c r="D347" s="67"/>
      <c r="E347" s="67"/>
      <c r="F347" s="71"/>
      <c r="G347" s="73"/>
      <c r="H347" s="7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67"/>
      <c r="B348" s="33"/>
      <c r="C348" s="67"/>
      <c r="D348" s="67"/>
      <c r="E348" s="67"/>
      <c r="F348" s="71"/>
      <c r="G348" s="73"/>
      <c r="H348" s="7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67"/>
      <c r="B349" s="33"/>
      <c r="C349" s="67"/>
      <c r="D349" s="67"/>
      <c r="E349" s="67"/>
      <c r="F349" s="71"/>
      <c r="G349" s="73"/>
      <c r="H349" s="7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67"/>
      <c r="B350" s="33"/>
      <c r="C350" s="67"/>
      <c r="D350" s="67"/>
      <c r="E350" s="67"/>
      <c r="F350" s="71"/>
      <c r="G350" s="73"/>
      <c r="H350" s="7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67"/>
      <c r="B351" s="33"/>
      <c r="C351" s="67"/>
      <c r="D351" s="67"/>
      <c r="E351" s="67"/>
      <c r="F351" s="71"/>
      <c r="G351" s="73"/>
      <c r="H351" s="7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67"/>
      <c r="B352" s="33"/>
      <c r="C352" s="67"/>
      <c r="D352" s="67"/>
      <c r="E352" s="67"/>
      <c r="F352" s="71"/>
      <c r="G352" s="73"/>
      <c r="H352" s="7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67"/>
      <c r="B353" s="33"/>
      <c r="C353" s="67"/>
      <c r="D353" s="67"/>
      <c r="E353" s="67"/>
      <c r="F353" s="71"/>
      <c r="G353" s="73"/>
      <c r="H353" s="7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67"/>
      <c r="B354" s="33"/>
      <c r="C354" s="67"/>
      <c r="D354" s="67"/>
      <c r="E354" s="67"/>
      <c r="F354" s="71"/>
      <c r="G354" s="73"/>
      <c r="H354" s="7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67"/>
      <c r="B355" s="33"/>
      <c r="C355" s="67"/>
      <c r="D355" s="67"/>
      <c r="E355" s="67"/>
      <c r="F355" s="71"/>
      <c r="G355" s="73"/>
      <c r="H355" s="7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67"/>
      <c r="B356" s="33"/>
      <c r="C356" s="67"/>
      <c r="D356" s="67"/>
      <c r="E356" s="67"/>
      <c r="F356" s="71"/>
      <c r="G356" s="73"/>
      <c r="H356" s="7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67"/>
      <c r="B357" s="33"/>
      <c r="C357" s="67"/>
      <c r="D357" s="67"/>
      <c r="E357" s="67"/>
      <c r="F357" s="71"/>
      <c r="G357" s="73"/>
      <c r="H357" s="7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67"/>
      <c r="B358" s="33"/>
      <c r="C358" s="67"/>
      <c r="D358" s="67"/>
      <c r="E358" s="67"/>
      <c r="F358" s="71"/>
      <c r="G358" s="73"/>
      <c r="H358" s="7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67"/>
      <c r="B359" s="33"/>
      <c r="C359" s="67"/>
      <c r="D359" s="67"/>
      <c r="E359" s="67"/>
      <c r="F359" s="71"/>
      <c r="G359" s="73"/>
      <c r="H359" s="7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67"/>
      <c r="B360" s="33"/>
      <c r="C360" s="67"/>
      <c r="D360" s="67"/>
      <c r="E360" s="67"/>
      <c r="F360" s="71"/>
      <c r="G360" s="73"/>
      <c r="H360" s="7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67"/>
      <c r="B361" s="33"/>
      <c r="C361" s="67"/>
      <c r="D361" s="67"/>
      <c r="E361" s="67"/>
      <c r="F361" s="71"/>
      <c r="G361" s="73"/>
      <c r="H361" s="7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67"/>
      <c r="B362" s="33"/>
      <c r="C362" s="67"/>
      <c r="D362" s="67"/>
      <c r="E362" s="67"/>
      <c r="F362" s="71"/>
      <c r="G362" s="73"/>
      <c r="H362" s="7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67"/>
      <c r="B363" s="33"/>
      <c r="C363" s="67"/>
      <c r="D363" s="67"/>
      <c r="E363" s="67"/>
      <c r="F363" s="71"/>
      <c r="G363" s="73"/>
      <c r="H363" s="7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67"/>
      <c r="B364" s="33"/>
      <c r="C364" s="67"/>
      <c r="D364" s="67"/>
      <c r="E364" s="67"/>
      <c r="F364" s="71"/>
      <c r="G364" s="73"/>
      <c r="H364" s="7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67"/>
      <c r="B365" s="33"/>
      <c r="C365" s="67"/>
      <c r="D365" s="67"/>
      <c r="E365" s="67"/>
      <c r="F365" s="71"/>
      <c r="G365" s="73"/>
      <c r="H365" s="7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67"/>
      <c r="B366" s="33"/>
      <c r="C366" s="67"/>
      <c r="D366" s="67"/>
      <c r="E366" s="67"/>
      <c r="F366" s="71"/>
      <c r="G366" s="73"/>
      <c r="H366" s="7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67"/>
      <c r="B367" s="33"/>
      <c r="C367" s="67"/>
      <c r="D367" s="67"/>
      <c r="E367" s="67"/>
      <c r="F367" s="71"/>
      <c r="G367" s="73"/>
      <c r="H367" s="7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67"/>
      <c r="B368" s="33"/>
      <c r="C368" s="67"/>
      <c r="D368" s="67"/>
      <c r="E368" s="67"/>
      <c r="F368" s="71"/>
      <c r="G368" s="73"/>
      <c r="H368" s="7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67"/>
      <c r="B369" s="33"/>
      <c r="C369" s="67"/>
      <c r="D369" s="67"/>
      <c r="E369" s="67"/>
      <c r="F369" s="71"/>
      <c r="G369" s="73"/>
      <c r="H369" s="7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67"/>
      <c r="B370" s="33"/>
      <c r="C370" s="67"/>
      <c r="D370" s="67"/>
      <c r="E370" s="67"/>
      <c r="F370" s="71"/>
      <c r="G370" s="73"/>
      <c r="H370" s="7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67"/>
      <c r="B371" s="33"/>
      <c r="C371" s="67"/>
      <c r="D371" s="67"/>
      <c r="E371" s="67"/>
      <c r="F371" s="71"/>
      <c r="G371" s="73"/>
      <c r="H371" s="7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67"/>
      <c r="B372" s="33"/>
      <c r="C372" s="67"/>
      <c r="D372" s="67"/>
      <c r="E372" s="67"/>
      <c r="F372" s="71"/>
      <c r="G372" s="73"/>
      <c r="H372" s="7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67"/>
      <c r="B373" s="33"/>
      <c r="C373" s="67"/>
      <c r="D373" s="67"/>
      <c r="E373" s="67"/>
      <c r="F373" s="71"/>
      <c r="G373" s="73"/>
      <c r="H373" s="7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67"/>
      <c r="B374" s="33"/>
      <c r="C374" s="67"/>
      <c r="D374" s="67"/>
      <c r="E374" s="67"/>
      <c r="F374" s="71"/>
      <c r="G374" s="73"/>
      <c r="H374" s="7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67"/>
      <c r="B375" s="33"/>
      <c r="C375" s="67"/>
      <c r="D375" s="67"/>
      <c r="E375" s="67"/>
      <c r="F375" s="71"/>
      <c r="G375" s="73"/>
      <c r="H375" s="7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67"/>
      <c r="B376" s="33"/>
      <c r="C376" s="67"/>
      <c r="D376" s="67"/>
      <c r="E376" s="67"/>
      <c r="F376" s="71"/>
      <c r="G376" s="73"/>
      <c r="H376" s="7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67"/>
      <c r="B377" s="33"/>
      <c r="C377" s="67"/>
      <c r="D377" s="67"/>
      <c r="E377" s="67"/>
      <c r="F377" s="71"/>
      <c r="G377" s="73"/>
      <c r="H377" s="7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67"/>
      <c r="B378" s="33"/>
      <c r="C378" s="67"/>
      <c r="D378" s="67"/>
      <c r="E378" s="67"/>
      <c r="F378" s="71"/>
      <c r="G378" s="73"/>
      <c r="H378" s="7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67"/>
      <c r="B379" s="33"/>
      <c r="C379" s="67"/>
      <c r="D379" s="67"/>
      <c r="E379" s="67"/>
      <c r="F379" s="71"/>
      <c r="G379" s="73"/>
      <c r="H379" s="7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67"/>
      <c r="B380" s="33"/>
      <c r="C380" s="67"/>
      <c r="D380" s="67"/>
      <c r="E380" s="67"/>
      <c r="F380" s="71"/>
      <c r="G380" s="73"/>
      <c r="H380" s="7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67"/>
      <c r="B381" s="33"/>
      <c r="C381" s="67"/>
      <c r="D381" s="67"/>
      <c r="E381" s="67"/>
      <c r="F381" s="71"/>
      <c r="G381" s="73"/>
      <c r="H381" s="7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67"/>
      <c r="B382" s="33"/>
      <c r="C382" s="67"/>
      <c r="D382" s="67"/>
      <c r="E382" s="67"/>
      <c r="F382" s="71"/>
      <c r="G382" s="73"/>
      <c r="H382" s="7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67"/>
      <c r="B383" s="33"/>
      <c r="C383" s="67"/>
      <c r="D383" s="67"/>
      <c r="E383" s="67"/>
      <c r="F383" s="71"/>
      <c r="G383" s="73"/>
      <c r="H383" s="7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67"/>
      <c r="B384" s="33"/>
      <c r="C384" s="67"/>
      <c r="D384" s="67"/>
      <c r="E384" s="67"/>
      <c r="F384" s="71"/>
      <c r="G384" s="73"/>
      <c r="H384" s="7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67"/>
      <c r="B385" s="33"/>
      <c r="C385" s="67"/>
      <c r="D385" s="67"/>
      <c r="E385" s="67"/>
      <c r="F385" s="71"/>
      <c r="G385" s="73"/>
      <c r="H385" s="7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67"/>
      <c r="B386" s="33"/>
      <c r="C386" s="67"/>
      <c r="D386" s="67"/>
      <c r="E386" s="67"/>
      <c r="F386" s="71"/>
      <c r="G386" s="73"/>
      <c r="H386" s="7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67"/>
      <c r="B387" s="33"/>
      <c r="C387" s="67"/>
      <c r="D387" s="67"/>
      <c r="E387" s="67"/>
      <c r="F387" s="71"/>
      <c r="G387" s="73"/>
      <c r="H387" s="7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67"/>
      <c r="B388" s="33"/>
      <c r="C388" s="67"/>
      <c r="D388" s="67"/>
      <c r="E388" s="67"/>
      <c r="F388" s="71"/>
      <c r="G388" s="73"/>
      <c r="H388" s="7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67"/>
      <c r="B389" s="33"/>
      <c r="C389" s="67"/>
      <c r="D389" s="67"/>
      <c r="E389" s="67"/>
      <c r="F389" s="71"/>
      <c r="G389" s="73"/>
      <c r="H389" s="7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67"/>
      <c r="B390" s="33"/>
      <c r="C390" s="67"/>
      <c r="D390" s="67"/>
      <c r="E390" s="67"/>
      <c r="F390" s="71"/>
      <c r="G390" s="73"/>
      <c r="H390" s="7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67"/>
      <c r="B391" s="33"/>
      <c r="C391" s="67"/>
      <c r="D391" s="67"/>
      <c r="E391" s="67"/>
      <c r="F391" s="71"/>
      <c r="G391" s="73"/>
      <c r="H391" s="7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67"/>
      <c r="B392" s="33"/>
      <c r="C392" s="67"/>
      <c r="D392" s="67"/>
      <c r="E392" s="67"/>
      <c r="F392" s="71"/>
      <c r="G392" s="73"/>
      <c r="H392" s="7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67"/>
      <c r="B393" s="33"/>
      <c r="C393" s="67"/>
      <c r="D393" s="67"/>
      <c r="E393" s="67"/>
      <c r="F393" s="71"/>
      <c r="G393" s="73"/>
      <c r="H393" s="7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67"/>
      <c r="B394" s="33"/>
      <c r="C394" s="67"/>
      <c r="D394" s="67"/>
      <c r="E394" s="67"/>
      <c r="F394" s="71"/>
      <c r="G394" s="73"/>
      <c r="H394" s="7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67"/>
      <c r="B395" s="33"/>
      <c r="C395" s="67"/>
      <c r="D395" s="67"/>
      <c r="E395" s="67"/>
      <c r="F395" s="71"/>
      <c r="G395" s="73"/>
      <c r="H395" s="7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67"/>
      <c r="B396" s="33"/>
      <c r="C396" s="67"/>
      <c r="D396" s="67"/>
      <c r="E396" s="67"/>
      <c r="F396" s="71"/>
      <c r="G396" s="73"/>
      <c r="H396" s="7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67"/>
      <c r="B397" s="33"/>
      <c r="C397" s="67"/>
      <c r="D397" s="67"/>
      <c r="E397" s="67"/>
      <c r="F397" s="71"/>
      <c r="G397" s="73"/>
      <c r="H397" s="7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67"/>
      <c r="B398" s="33"/>
      <c r="C398" s="67"/>
      <c r="D398" s="67"/>
      <c r="E398" s="67"/>
      <c r="F398" s="71"/>
      <c r="G398" s="73"/>
      <c r="H398" s="7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67"/>
      <c r="B399" s="33"/>
      <c r="C399" s="67"/>
      <c r="D399" s="67"/>
      <c r="E399" s="67"/>
      <c r="F399" s="71"/>
      <c r="G399" s="73"/>
      <c r="H399" s="7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67"/>
      <c r="B400" s="33"/>
      <c r="C400" s="67"/>
      <c r="D400" s="67"/>
      <c r="E400" s="67"/>
      <c r="F400" s="71"/>
      <c r="G400" s="73"/>
      <c r="H400" s="7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67"/>
      <c r="B401" s="33"/>
      <c r="C401" s="67"/>
      <c r="D401" s="67"/>
      <c r="E401" s="67"/>
      <c r="F401" s="71"/>
      <c r="G401" s="73"/>
      <c r="H401" s="7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67"/>
      <c r="B402" s="33"/>
      <c r="C402" s="67"/>
      <c r="D402" s="67"/>
      <c r="E402" s="67"/>
      <c r="F402" s="71"/>
      <c r="G402" s="73"/>
      <c r="H402" s="7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67"/>
      <c r="B403" s="33"/>
      <c r="C403" s="67"/>
      <c r="D403" s="67"/>
      <c r="E403" s="67"/>
      <c r="F403" s="71"/>
      <c r="G403" s="73"/>
      <c r="H403" s="7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67"/>
      <c r="B404" s="33"/>
      <c r="C404" s="67"/>
      <c r="D404" s="67"/>
      <c r="E404" s="67"/>
      <c r="F404" s="71"/>
      <c r="G404" s="73"/>
      <c r="H404" s="7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67"/>
      <c r="B405" s="33"/>
      <c r="C405" s="67"/>
      <c r="D405" s="67"/>
      <c r="E405" s="67"/>
      <c r="F405" s="71"/>
      <c r="G405" s="73"/>
      <c r="H405" s="7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67"/>
      <c r="B406" s="33"/>
      <c r="C406" s="67"/>
      <c r="D406" s="67"/>
      <c r="E406" s="67"/>
      <c r="F406" s="71"/>
      <c r="G406" s="73"/>
      <c r="H406" s="7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67"/>
      <c r="B407" s="33"/>
      <c r="C407" s="67"/>
      <c r="D407" s="67"/>
      <c r="E407" s="67"/>
      <c r="F407" s="71"/>
      <c r="G407" s="73"/>
      <c r="H407" s="7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67"/>
      <c r="B408" s="33"/>
      <c r="C408" s="67"/>
      <c r="D408" s="67"/>
      <c r="E408" s="67"/>
      <c r="F408" s="71"/>
      <c r="G408" s="73"/>
      <c r="H408" s="7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67"/>
      <c r="B409" s="33"/>
      <c r="C409" s="67"/>
      <c r="D409" s="67"/>
      <c r="E409" s="67"/>
      <c r="F409" s="71"/>
      <c r="G409" s="73"/>
      <c r="H409" s="7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67"/>
      <c r="B410" s="33"/>
      <c r="C410" s="67"/>
      <c r="D410" s="67"/>
      <c r="E410" s="67"/>
      <c r="F410" s="71"/>
      <c r="G410" s="73"/>
      <c r="H410" s="7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67"/>
      <c r="B411" s="33"/>
      <c r="C411" s="67"/>
      <c r="D411" s="67"/>
      <c r="E411" s="67"/>
      <c r="F411" s="71"/>
      <c r="G411" s="73"/>
      <c r="H411" s="7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67"/>
      <c r="B412" s="33"/>
      <c r="C412" s="67"/>
      <c r="D412" s="67"/>
      <c r="E412" s="67"/>
      <c r="F412" s="71"/>
      <c r="G412" s="73"/>
      <c r="H412" s="7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67"/>
      <c r="B413" s="33"/>
      <c r="C413" s="67"/>
      <c r="D413" s="67"/>
      <c r="E413" s="67"/>
      <c r="F413" s="71"/>
      <c r="G413" s="73"/>
      <c r="H413" s="7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67"/>
      <c r="B414" s="33"/>
      <c r="C414" s="67"/>
      <c r="D414" s="67"/>
      <c r="E414" s="67"/>
      <c r="F414" s="71"/>
      <c r="G414" s="73"/>
      <c r="H414" s="7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67"/>
      <c r="B415" s="33"/>
      <c r="C415" s="67"/>
      <c r="D415" s="67"/>
      <c r="E415" s="67"/>
      <c r="F415" s="71"/>
      <c r="G415" s="73"/>
      <c r="H415" s="7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67"/>
      <c r="B416" s="33"/>
      <c r="C416" s="67"/>
      <c r="D416" s="67"/>
      <c r="E416" s="67"/>
      <c r="F416" s="71"/>
      <c r="G416" s="73"/>
      <c r="H416" s="7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67"/>
      <c r="B417" s="33"/>
      <c r="C417" s="67"/>
      <c r="D417" s="67"/>
      <c r="E417" s="67"/>
      <c r="F417" s="71"/>
      <c r="G417" s="73"/>
      <c r="H417" s="7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67"/>
      <c r="B418" s="33"/>
      <c r="C418" s="67"/>
      <c r="D418" s="67"/>
      <c r="E418" s="67"/>
      <c r="F418" s="71"/>
      <c r="G418" s="73"/>
      <c r="H418" s="7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67"/>
      <c r="B419" s="33"/>
      <c r="C419" s="67"/>
      <c r="D419" s="67"/>
      <c r="E419" s="67"/>
      <c r="F419" s="71"/>
      <c r="G419" s="73"/>
      <c r="H419" s="7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67"/>
      <c r="B420" s="33"/>
      <c r="C420" s="67"/>
      <c r="D420" s="67"/>
      <c r="E420" s="67"/>
      <c r="F420" s="71"/>
      <c r="G420" s="73"/>
      <c r="H420" s="7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67"/>
      <c r="B421" s="33"/>
      <c r="C421" s="67"/>
      <c r="D421" s="67"/>
      <c r="E421" s="67"/>
      <c r="F421" s="71"/>
      <c r="G421" s="73"/>
      <c r="H421" s="7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67"/>
      <c r="B422" s="33"/>
      <c r="C422" s="67"/>
      <c r="D422" s="67"/>
      <c r="E422" s="67"/>
      <c r="F422" s="71"/>
      <c r="G422" s="73"/>
      <c r="H422" s="7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67"/>
      <c r="B423" s="33"/>
      <c r="C423" s="67"/>
      <c r="D423" s="67"/>
      <c r="E423" s="67"/>
      <c r="F423" s="71"/>
      <c r="G423" s="73"/>
      <c r="H423" s="7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67"/>
      <c r="B424" s="33"/>
      <c r="C424" s="67"/>
      <c r="D424" s="67"/>
      <c r="E424" s="67"/>
      <c r="F424" s="71"/>
      <c r="G424" s="73"/>
      <c r="H424" s="7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67"/>
      <c r="B425" s="33"/>
      <c r="C425" s="67"/>
      <c r="D425" s="67"/>
      <c r="E425" s="67"/>
      <c r="F425" s="71"/>
      <c r="G425" s="73"/>
      <c r="H425" s="7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67"/>
      <c r="B426" s="33"/>
      <c r="C426" s="67"/>
      <c r="D426" s="67"/>
      <c r="E426" s="67"/>
      <c r="F426" s="71"/>
      <c r="G426" s="73"/>
      <c r="H426" s="7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67"/>
      <c r="B427" s="33"/>
      <c r="C427" s="67"/>
      <c r="D427" s="67"/>
      <c r="E427" s="67"/>
      <c r="F427" s="71"/>
      <c r="G427" s="73"/>
      <c r="H427" s="7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67"/>
      <c r="B428" s="33"/>
      <c r="C428" s="67"/>
      <c r="D428" s="67"/>
      <c r="E428" s="67"/>
      <c r="F428" s="71"/>
      <c r="G428" s="73"/>
      <c r="H428" s="7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67"/>
      <c r="B429" s="33"/>
      <c r="C429" s="67"/>
      <c r="D429" s="67"/>
      <c r="E429" s="67"/>
      <c r="F429" s="71"/>
      <c r="G429" s="73"/>
      <c r="H429" s="7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67"/>
      <c r="B430" s="33"/>
      <c r="C430" s="67"/>
      <c r="D430" s="67"/>
      <c r="E430" s="67"/>
      <c r="F430" s="71"/>
      <c r="G430" s="73"/>
      <c r="H430" s="7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67"/>
      <c r="B431" s="33"/>
      <c r="C431" s="67"/>
      <c r="D431" s="67"/>
      <c r="E431" s="67"/>
      <c r="F431" s="71"/>
      <c r="G431" s="73"/>
      <c r="H431" s="7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67"/>
      <c r="B432" s="33"/>
      <c r="C432" s="67"/>
      <c r="D432" s="67"/>
      <c r="E432" s="67"/>
      <c r="F432" s="71"/>
      <c r="G432" s="73"/>
      <c r="H432" s="7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67"/>
      <c r="B433" s="33"/>
      <c r="C433" s="67"/>
      <c r="D433" s="67"/>
      <c r="E433" s="67"/>
      <c r="F433" s="71"/>
      <c r="G433" s="73"/>
      <c r="H433" s="7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67"/>
      <c r="B434" s="33"/>
      <c r="C434" s="67"/>
      <c r="D434" s="67"/>
      <c r="E434" s="67"/>
      <c r="F434" s="71"/>
      <c r="G434" s="73"/>
      <c r="H434" s="7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67"/>
      <c r="B435" s="33"/>
      <c r="C435" s="67"/>
      <c r="D435" s="67"/>
      <c r="E435" s="67"/>
      <c r="F435" s="71"/>
      <c r="G435" s="73"/>
      <c r="H435" s="7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67"/>
      <c r="B436" s="33"/>
      <c r="C436" s="67"/>
      <c r="D436" s="67"/>
      <c r="E436" s="67"/>
      <c r="F436" s="71"/>
      <c r="G436" s="73"/>
      <c r="H436" s="7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67"/>
      <c r="B437" s="33"/>
      <c r="C437" s="67"/>
      <c r="D437" s="67"/>
      <c r="E437" s="67"/>
      <c r="F437" s="71"/>
      <c r="G437" s="73"/>
      <c r="H437" s="7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67"/>
      <c r="B438" s="33"/>
      <c r="C438" s="67"/>
      <c r="D438" s="67"/>
      <c r="E438" s="67"/>
      <c r="F438" s="71"/>
      <c r="G438" s="73"/>
      <c r="H438" s="7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67"/>
      <c r="B439" s="33"/>
      <c r="C439" s="67"/>
      <c r="D439" s="67"/>
      <c r="E439" s="67"/>
      <c r="F439" s="71"/>
      <c r="G439" s="73"/>
      <c r="H439" s="7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67"/>
      <c r="B440" s="33"/>
      <c r="C440" s="67"/>
      <c r="D440" s="67"/>
      <c r="E440" s="67"/>
      <c r="F440" s="71"/>
      <c r="G440" s="73"/>
      <c r="H440" s="7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67"/>
      <c r="B441" s="33"/>
      <c r="C441" s="67"/>
      <c r="D441" s="67"/>
      <c r="E441" s="67"/>
      <c r="F441" s="71"/>
      <c r="G441" s="73"/>
      <c r="H441" s="7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67"/>
      <c r="B442" s="33"/>
      <c r="C442" s="67"/>
      <c r="D442" s="67"/>
      <c r="E442" s="67"/>
      <c r="F442" s="71"/>
      <c r="G442" s="73"/>
      <c r="H442" s="7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67"/>
      <c r="B443" s="33"/>
      <c r="C443" s="67"/>
      <c r="D443" s="67"/>
      <c r="E443" s="67"/>
      <c r="F443" s="71"/>
      <c r="G443" s="73"/>
      <c r="H443" s="7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67"/>
      <c r="B444" s="33"/>
      <c r="C444" s="67"/>
      <c r="D444" s="67"/>
      <c r="E444" s="67"/>
      <c r="F444" s="71"/>
      <c r="G444" s="73"/>
      <c r="H444" s="7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67"/>
      <c r="B445" s="33"/>
      <c r="C445" s="67"/>
      <c r="D445" s="67"/>
      <c r="E445" s="67"/>
      <c r="F445" s="71"/>
      <c r="G445" s="73"/>
      <c r="H445" s="7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67"/>
      <c r="B446" s="33"/>
      <c r="C446" s="67"/>
      <c r="D446" s="67"/>
      <c r="E446" s="67"/>
      <c r="F446" s="71"/>
      <c r="G446" s="73"/>
      <c r="H446" s="7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67"/>
      <c r="B447" s="33"/>
      <c r="C447" s="67"/>
      <c r="D447" s="67"/>
      <c r="E447" s="67"/>
      <c r="F447" s="71"/>
      <c r="G447" s="73"/>
      <c r="H447" s="7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67"/>
      <c r="B448" s="33"/>
      <c r="C448" s="67"/>
      <c r="D448" s="67"/>
      <c r="E448" s="67"/>
      <c r="F448" s="71"/>
      <c r="G448" s="73"/>
      <c r="H448" s="7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67"/>
      <c r="B449" s="33"/>
      <c r="C449" s="67"/>
      <c r="D449" s="67"/>
      <c r="E449" s="67"/>
      <c r="F449" s="71"/>
      <c r="G449" s="73"/>
      <c r="H449" s="7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67"/>
      <c r="B450" s="33"/>
      <c r="C450" s="67"/>
      <c r="D450" s="67"/>
      <c r="E450" s="67"/>
      <c r="F450" s="71"/>
      <c r="G450" s="73"/>
      <c r="H450" s="7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67"/>
      <c r="B451" s="33"/>
      <c r="C451" s="67"/>
      <c r="D451" s="67"/>
      <c r="E451" s="67"/>
      <c r="F451" s="71"/>
      <c r="G451" s="73"/>
      <c r="H451" s="7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67"/>
      <c r="B452" s="33"/>
      <c r="C452" s="67"/>
      <c r="D452" s="67"/>
      <c r="E452" s="67"/>
      <c r="F452" s="71"/>
      <c r="G452" s="73"/>
      <c r="H452" s="7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67"/>
      <c r="B453" s="33"/>
      <c r="C453" s="67"/>
      <c r="D453" s="67"/>
      <c r="E453" s="67"/>
      <c r="F453" s="71"/>
      <c r="G453" s="73"/>
      <c r="H453" s="7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67"/>
      <c r="B454" s="33"/>
      <c r="C454" s="67"/>
      <c r="D454" s="67"/>
      <c r="E454" s="67"/>
      <c r="F454" s="71"/>
      <c r="G454" s="73"/>
      <c r="H454" s="7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67"/>
      <c r="B455" s="33"/>
      <c r="C455" s="67"/>
      <c r="D455" s="67"/>
      <c r="E455" s="67"/>
      <c r="F455" s="71"/>
      <c r="G455" s="73"/>
      <c r="H455" s="7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67"/>
      <c r="B456" s="33"/>
      <c r="C456" s="67"/>
      <c r="D456" s="67"/>
      <c r="E456" s="67"/>
      <c r="F456" s="71"/>
      <c r="G456" s="73"/>
      <c r="H456" s="7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67"/>
      <c r="B457" s="33"/>
      <c r="C457" s="67"/>
      <c r="D457" s="67"/>
      <c r="E457" s="67"/>
      <c r="F457" s="71"/>
      <c r="G457" s="73"/>
      <c r="H457" s="7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67"/>
      <c r="B458" s="33"/>
      <c r="C458" s="67"/>
      <c r="D458" s="67"/>
      <c r="E458" s="67"/>
      <c r="F458" s="71"/>
      <c r="G458" s="73"/>
      <c r="H458" s="7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67"/>
      <c r="B459" s="33"/>
      <c r="C459" s="67"/>
      <c r="D459" s="67"/>
      <c r="E459" s="67"/>
      <c r="F459" s="71"/>
      <c r="G459" s="73"/>
      <c r="H459" s="7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67"/>
      <c r="B460" s="33"/>
      <c r="C460" s="67"/>
      <c r="D460" s="67"/>
      <c r="E460" s="67"/>
      <c r="F460" s="71"/>
      <c r="G460" s="73"/>
      <c r="H460" s="7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67"/>
      <c r="B461" s="33"/>
      <c r="C461" s="67"/>
      <c r="D461" s="67"/>
      <c r="E461" s="67"/>
      <c r="F461" s="71"/>
      <c r="G461" s="73"/>
      <c r="H461" s="7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67"/>
      <c r="B462" s="33"/>
      <c r="C462" s="67"/>
      <c r="D462" s="67"/>
      <c r="E462" s="67"/>
      <c r="F462" s="71"/>
      <c r="G462" s="73"/>
      <c r="H462" s="7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67"/>
      <c r="B463" s="33"/>
      <c r="C463" s="67"/>
      <c r="D463" s="67"/>
      <c r="E463" s="67"/>
      <c r="F463" s="71"/>
      <c r="G463" s="73"/>
      <c r="H463" s="7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67"/>
      <c r="B464" s="33"/>
      <c r="C464" s="67"/>
      <c r="D464" s="67"/>
      <c r="E464" s="67"/>
      <c r="F464" s="71"/>
      <c r="G464" s="73"/>
      <c r="H464" s="7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67"/>
      <c r="B465" s="33"/>
      <c r="C465" s="67"/>
      <c r="D465" s="67"/>
      <c r="E465" s="67"/>
      <c r="F465" s="71"/>
      <c r="G465" s="73"/>
      <c r="H465" s="7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67"/>
      <c r="B466" s="33"/>
      <c r="C466" s="67"/>
      <c r="D466" s="67"/>
      <c r="E466" s="67"/>
      <c r="F466" s="71"/>
      <c r="G466" s="73"/>
      <c r="H466" s="7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67"/>
      <c r="B467" s="33"/>
      <c r="C467" s="67"/>
      <c r="D467" s="67"/>
      <c r="E467" s="67"/>
      <c r="F467" s="71"/>
      <c r="G467" s="73"/>
      <c r="H467" s="7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67"/>
      <c r="B468" s="33"/>
      <c r="C468" s="67"/>
      <c r="D468" s="67"/>
      <c r="E468" s="67"/>
      <c r="F468" s="71"/>
      <c r="G468" s="73"/>
      <c r="H468" s="7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67"/>
      <c r="B469" s="33"/>
      <c r="C469" s="67"/>
      <c r="D469" s="67"/>
      <c r="E469" s="67"/>
      <c r="F469" s="71"/>
      <c r="G469" s="73"/>
      <c r="H469" s="7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67"/>
      <c r="B470" s="33"/>
      <c r="C470" s="67"/>
      <c r="D470" s="67"/>
      <c r="E470" s="67"/>
      <c r="F470" s="71"/>
      <c r="G470" s="73"/>
      <c r="H470" s="7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67"/>
      <c r="B471" s="33"/>
      <c r="C471" s="67"/>
      <c r="D471" s="67"/>
      <c r="E471" s="67"/>
      <c r="F471" s="71"/>
      <c r="G471" s="73"/>
      <c r="H471" s="7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67"/>
      <c r="B472" s="33"/>
      <c r="C472" s="67"/>
      <c r="D472" s="67"/>
      <c r="E472" s="67"/>
      <c r="F472" s="71"/>
      <c r="G472" s="73"/>
      <c r="H472" s="7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67"/>
      <c r="B473" s="33"/>
      <c r="C473" s="67"/>
      <c r="D473" s="67"/>
      <c r="E473" s="67"/>
      <c r="F473" s="71"/>
      <c r="G473" s="73"/>
      <c r="H473" s="7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67"/>
      <c r="B474" s="33"/>
      <c r="C474" s="67"/>
      <c r="D474" s="67"/>
      <c r="E474" s="67"/>
      <c r="F474" s="71"/>
      <c r="G474" s="73"/>
      <c r="H474" s="7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67"/>
      <c r="B475" s="33"/>
      <c r="C475" s="67"/>
      <c r="D475" s="67"/>
      <c r="E475" s="67"/>
      <c r="F475" s="71"/>
      <c r="G475" s="73"/>
      <c r="H475" s="7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67"/>
      <c r="B476" s="33"/>
      <c r="C476" s="67"/>
      <c r="D476" s="67"/>
      <c r="E476" s="67"/>
      <c r="F476" s="71"/>
      <c r="G476" s="73"/>
      <c r="H476" s="7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67"/>
      <c r="B477" s="33"/>
      <c r="C477" s="67"/>
      <c r="D477" s="67"/>
      <c r="E477" s="67"/>
      <c r="F477" s="71"/>
      <c r="G477" s="73"/>
      <c r="H477" s="7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67"/>
      <c r="B478" s="33"/>
      <c r="C478" s="67"/>
      <c r="D478" s="67"/>
      <c r="E478" s="67"/>
      <c r="F478" s="71"/>
      <c r="G478" s="73"/>
      <c r="H478" s="7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67"/>
      <c r="B479" s="33"/>
      <c r="C479" s="67"/>
      <c r="D479" s="67"/>
      <c r="E479" s="67"/>
      <c r="F479" s="71"/>
      <c r="G479" s="73"/>
      <c r="H479" s="7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67"/>
      <c r="B480" s="33"/>
      <c r="C480" s="67"/>
      <c r="D480" s="67"/>
      <c r="E480" s="67"/>
      <c r="F480" s="71"/>
      <c r="G480" s="73"/>
      <c r="H480" s="7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67"/>
      <c r="B481" s="33"/>
      <c r="C481" s="67"/>
      <c r="D481" s="67"/>
      <c r="E481" s="67"/>
      <c r="F481" s="71"/>
      <c r="G481" s="73"/>
      <c r="H481" s="7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67"/>
      <c r="B482" s="33"/>
      <c r="C482" s="67"/>
      <c r="D482" s="67"/>
      <c r="E482" s="67"/>
      <c r="F482" s="71"/>
      <c r="G482" s="73"/>
      <c r="H482" s="7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67"/>
      <c r="B483" s="33"/>
      <c r="C483" s="67"/>
      <c r="D483" s="67"/>
      <c r="E483" s="67"/>
      <c r="F483" s="71"/>
      <c r="G483" s="73"/>
      <c r="H483" s="7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67"/>
      <c r="B484" s="33"/>
      <c r="C484" s="67"/>
      <c r="D484" s="67"/>
      <c r="E484" s="67"/>
      <c r="F484" s="71"/>
      <c r="G484" s="73"/>
      <c r="H484" s="7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67"/>
      <c r="B485" s="33"/>
      <c r="C485" s="67"/>
      <c r="D485" s="67"/>
      <c r="E485" s="67"/>
      <c r="F485" s="71"/>
      <c r="G485" s="73"/>
      <c r="H485" s="7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67"/>
      <c r="B486" s="33"/>
      <c r="C486" s="67"/>
      <c r="D486" s="67"/>
      <c r="E486" s="67"/>
      <c r="F486" s="71"/>
      <c r="G486" s="73"/>
      <c r="H486" s="7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67"/>
      <c r="B487" s="33"/>
      <c r="C487" s="67"/>
      <c r="D487" s="67"/>
      <c r="E487" s="67"/>
      <c r="F487" s="71"/>
      <c r="G487" s="73"/>
      <c r="H487" s="7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67"/>
      <c r="B488" s="33"/>
      <c r="C488" s="67"/>
      <c r="D488" s="67"/>
      <c r="E488" s="67"/>
      <c r="F488" s="71"/>
      <c r="G488" s="73"/>
      <c r="H488" s="7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67"/>
      <c r="B489" s="33"/>
      <c r="C489" s="67"/>
      <c r="D489" s="67"/>
      <c r="E489" s="67"/>
      <c r="F489" s="71"/>
      <c r="G489" s="73"/>
      <c r="H489" s="7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67"/>
      <c r="B490" s="33"/>
      <c r="C490" s="67"/>
      <c r="D490" s="67"/>
      <c r="E490" s="67"/>
      <c r="F490" s="71"/>
      <c r="G490" s="73"/>
      <c r="H490" s="7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67"/>
      <c r="B491" s="33"/>
      <c r="C491" s="67"/>
      <c r="D491" s="67"/>
      <c r="E491" s="67"/>
      <c r="F491" s="71"/>
      <c r="G491" s="73"/>
      <c r="H491" s="7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67"/>
      <c r="B492" s="33"/>
      <c r="C492" s="67"/>
      <c r="D492" s="67"/>
      <c r="E492" s="67"/>
      <c r="F492" s="71"/>
      <c r="G492" s="73"/>
      <c r="H492" s="7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67"/>
      <c r="B493" s="33"/>
      <c r="C493" s="67"/>
      <c r="D493" s="67"/>
      <c r="E493" s="67"/>
      <c r="F493" s="71"/>
      <c r="G493" s="73"/>
      <c r="H493" s="7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67"/>
      <c r="B494" s="33"/>
      <c r="C494" s="67"/>
      <c r="D494" s="67"/>
      <c r="E494" s="67"/>
      <c r="F494" s="71"/>
      <c r="G494" s="73"/>
      <c r="H494" s="7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67"/>
      <c r="B495" s="33"/>
      <c r="C495" s="67"/>
      <c r="D495" s="67"/>
      <c r="E495" s="67"/>
      <c r="F495" s="71"/>
      <c r="G495" s="73"/>
      <c r="H495" s="7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67"/>
      <c r="B496" s="33"/>
      <c r="C496" s="67"/>
      <c r="D496" s="67"/>
      <c r="E496" s="67"/>
      <c r="F496" s="71"/>
      <c r="G496" s="73"/>
      <c r="H496" s="7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67"/>
      <c r="B497" s="33"/>
      <c r="C497" s="67"/>
      <c r="D497" s="67"/>
      <c r="E497" s="67"/>
      <c r="F497" s="71"/>
      <c r="G497" s="73"/>
      <c r="H497" s="7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67"/>
      <c r="B498" s="33"/>
      <c r="C498" s="67"/>
      <c r="D498" s="67"/>
      <c r="E498" s="67"/>
      <c r="F498" s="71"/>
      <c r="G498" s="73"/>
      <c r="H498" s="7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67"/>
      <c r="B499" s="33"/>
      <c r="C499" s="67"/>
      <c r="D499" s="67"/>
      <c r="E499" s="67"/>
      <c r="F499" s="71"/>
      <c r="G499" s="73"/>
      <c r="H499" s="7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67"/>
      <c r="B500" s="33"/>
      <c r="C500" s="67"/>
      <c r="D500" s="67"/>
      <c r="E500" s="67"/>
      <c r="F500" s="71"/>
      <c r="G500" s="73"/>
      <c r="H500" s="7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67"/>
      <c r="B501" s="33"/>
      <c r="C501" s="67"/>
      <c r="D501" s="67"/>
      <c r="E501" s="67"/>
      <c r="F501" s="71"/>
      <c r="G501" s="73"/>
      <c r="H501" s="7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67"/>
      <c r="B502" s="33"/>
      <c r="C502" s="67"/>
      <c r="D502" s="67"/>
      <c r="E502" s="67"/>
      <c r="F502" s="71"/>
      <c r="G502" s="73"/>
      <c r="H502" s="7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67"/>
      <c r="B503" s="33"/>
      <c r="C503" s="67"/>
      <c r="D503" s="67"/>
      <c r="E503" s="67"/>
      <c r="F503" s="71"/>
      <c r="G503" s="73"/>
      <c r="H503" s="7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67"/>
      <c r="B504" s="33"/>
      <c r="C504" s="67"/>
      <c r="D504" s="67"/>
      <c r="E504" s="67"/>
      <c r="F504" s="71"/>
      <c r="G504" s="73"/>
      <c r="H504" s="7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67"/>
      <c r="B505" s="33"/>
      <c r="C505" s="67"/>
      <c r="D505" s="67"/>
      <c r="E505" s="67"/>
      <c r="F505" s="71"/>
      <c r="G505" s="73"/>
      <c r="H505" s="7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67"/>
      <c r="B506" s="33"/>
      <c r="C506" s="67"/>
      <c r="D506" s="67"/>
      <c r="E506" s="67"/>
      <c r="F506" s="71"/>
      <c r="G506" s="73"/>
      <c r="H506" s="7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67"/>
      <c r="B507" s="33"/>
      <c r="C507" s="67"/>
      <c r="D507" s="67"/>
      <c r="E507" s="67"/>
      <c r="F507" s="71"/>
      <c r="G507" s="73"/>
      <c r="H507" s="7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67"/>
      <c r="B508" s="33"/>
      <c r="C508" s="67"/>
      <c r="D508" s="67"/>
      <c r="E508" s="67"/>
      <c r="F508" s="71"/>
      <c r="G508" s="73"/>
      <c r="H508" s="7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67"/>
      <c r="B509" s="33"/>
      <c r="C509" s="67"/>
      <c r="D509" s="67"/>
      <c r="E509" s="67"/>
      <c r="F509" s="71"/>
      <c r="G509" s="73"/>
      <c r="H509" s="7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67"/>
      <c r="B510" s="33"/>
      <c r="C510" s="67"/>
      <c r="D510" s="67"/>
      <c r="E510" s="67"/>
      <c r="F510" s="71"/>
      <c r="G510" s="73"/>
      <c r="H510" s="7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67"/>
      <c r="B511" s="33"/>
      <c r="C511" s="67"/>
      <c r="D511" s="67"/>
      <c r="E511" s="67"/>
      <c r="F511" s="71"/>
      <c r="G511" s="73"/>
      <c r="H511" s="7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67"/>
      <c r="B512" s="33"/>
      <c r="C512" s="67"/>
      <c r="D512" s="67"/>
      <c r="E512" s="67"/>
      <c r="F512" s="71"/>
      <c r="G512" s="73"/>
      <c r="H512" s="7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67"/>
      <c r="B513" s="33"/>
      <c r="C513" s="67"/>
      <c r="D513" s="67"/>
      <c r="E513" s="67"/>
      <c r="F513" s="71"/>
      <c r="G513" s="73"/>
      <c r="H513" s="7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67"/>
      <c r="B514" s="33"/>
      <c r="C514" s="67"/>
      <c r="D514" s="67"/>
      <c r="E514" s="67"/>
      <c r="F514" s="71"/>
      <c r="G514" s="73"/>
      <c r="H514" s="7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67"/>
      <c r="B515" s="33"/>
      <c r="C515" s="67"/>
      <c r="D515" s="67"/>
      <c r="E515" s="67"/>
      <c r="F515" s="71"/>
      <c r="G515" s="73"/>
      <c r="H515" s="7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67"/>
      <c r="B516" s="33"/>
      <c r="C516" s="67"/>
      <c r="D516" s="67"/>
      <c r="E516" s="67"/>
      <c r="F516" s="71"/>
      <c r="G516" s="73"/>
      <c r="H516" s="7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67"/>
      <c r="B517" s="33"/>
      <c r="C517" s="67"/>
      <c r="D517" s="67"/>
      <c r="E517" s="67"/>
      <c r="F517" s="71"/>
      <c r="G517" s="73"/>
      <c r="H517" s="7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67"/>
      <c r="B518" s="33"/>
      <c r="C518" s="67"/>
      <c r="D518" s="67"/>
      <c r="E518" s="67"/>
      <c r="F518" s="71"/>
      <c r="G518" s="73"/>
      <c r="H518" s="7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67"/>
      <c r="B519" s="33"/>
      <c r="C519" s="67"/>
      <c r="D519" s="67"/>
      <c r="E519" s="67"/>
      <c r="F519" s="71"/>
      <c r="G519" s="73"/>
      <c r="H519" s="7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67"/>
      <c r="B520" s="33"/>
      <c r="C520" s="67"/>
      <c r="D520" s="67"/>
      <c r="E520" s="67"/>
      <c r="F520" s="71"/>
      <c r="G520" s="73"/>
      <c r="H520" s="7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67"/>
      <c r="B521" s="33"/>
      <c r="C521" s="67"/>
      <c r="D521" s="67"/>
      <c r="E521" s="67"/>
      <c r="F521" s="71"/>
      <c r="G521" s="73"/>
      <c r="H521" s="7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67"/>
      <c r="B522" s="33"/>
      <c r="C522" s="67"/>
      <c r="D522" s="67"/>
      <c r="E522" s="67"/>
      <c r="F522" s="71"/>
      <c r="G522" s="73"/>
      <c r="H522" s="7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67"/>
      <c r="B523" s="33"/>
      <c r="C523" s="67"/>
      <c r="D523" s="67"/>
      <c r="E523" s="67"/>
      <c r="F523" s="71"/>
      <c r="G523" s="73"/>
      <c r="H523" s="7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67"/>
      <c r="B524" s="33"/>
      <c r="C524" s="67"/>
      <c r="D524" s="67"/>
      <c r="E524" s="67"/>
      <c r="F524" s="71"/>
      <c r="G524" s="73"/>
      <c r="H524" s="7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67"/>
      <c r="B525" s="33"/>
      <c r="C525" s="67"/>
      <c r="D525" s="67"/>
      <c r="E525" s="67"/>
      <c r="F525" s="71"/>
      <c r="G525" s="73"/>
      <c r="H525" s="7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67"/>
      <c r="B526" s="33"/>
      <c r="C526" s="67"/>
      <c r="D526" s="67"/>
      <c r="E526" s="67"/>
      <c r="F526" s="71"/>
      <c r="G526" s="73"/>
      <c r="H526" s="7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67"/>
      <c r="B527" s="33"/>
      <c r="C527" s="67"/>
      <c r="D527" s="67"/>
      <c r="E527" s="67"/>
      <c r="F527" s="71"/>
      <c r="G527" s="73"/>
      <c r="H527" s="7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67"/>
      <c r="B528" s="33"/>
      <c r="C528" s="67"/>
      <c r="D528" s="67"/>
      <c r="E528" s="67"/>
      <c r="F528" s="71"/>
      <c r="G528" s="73"/>
      <c r="H528" s="7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67"/>
      <c r="B529" s="33"/>
      <c r="C529" s="67"/>
      <c r="D529" s="67"/>
      <c r="E529" s="67"/>
      <c r="F529" s="71"/>
      <c r="G529" s="73"/>
      <c r="H529" s="7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67"/>
      <c r="B530" s="33"/>
      <c r="C530" s="67"/>
      <c r="D530" s="67"/>
      <c r="E530" s="67"/>
      <c r="F530" s="71"/>
      <c r="G530" s="73"/>
      <c r="H530" s="7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67"/>
      <c r="B531" s="33"/>
      <c r="C531" s="67"/>
      <c r="D531" s="67"/>
      <c r="E531" s="67"/>
      <c r="F531" s="71"/>
      <c r="G531" s="73"/>
      <c r="H531" s="7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67"/>
      <c r="B532" s="33"/>
      <c r="C532" s="67"/>
      <c r="D532" s="67"/>
      <c r="E532" s="67"/>
      <c r="F532" s="71"/>
      <c r="G532" s="73"/>
      <c r="H532" s="7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67"/>
      <c r="B533" s="33"/>
      <c r="C533" s="67"/>
      <c r="D533" s="67"/>
      <c r="E533" s="67"/>
      <c r="F533" s="71"/>
      <c r="G533" s="73"/>
      <c r="H533" s="7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67"/>
      <c r="B534" s="33"/>
      <c r="C534" s="67"/>
      <c r="D534" s="67"/>
      <c r="E534" s="67"/>
      <c r="F534" s="71"/>
      <c r="G534" s="73"/>
      <c r="H534" s="7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67"/>
      <c r="B535" s="33"/>
      <c r="C535" s="67"/>
      <c r="D535" s="67"/>
      <c r="E535" s="67"/>
      <c r="F535" s="71"/>
      <c r="G535" s="73"/>
      <c r="H535" s="7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67"/>
      <c r="B536" s="33"/>
      <c r="C536" s="67"/>
      <c r="D536" s="67"/>
      <c r="E536" s="67"/>
      <c r="F536" s="71"/>
      <c r="G536" s="73"/>
      <c r="H536" s="7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67"/>
      <c r="B537" s="33"/>
      <c r="C537" s="67"/>
      <c r="D537" s="67"/>
      <c r="E537" s="67"/>
      <c r="F537" s="71"/>
      <c r="G537" s="73"/>
      <c r="H537" s="7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67"/>
      <c r="B538" s="33"/>
      <c r="C538" s="67"/>
      <c r="D538" s="67"/>
      <c r="E538" s="67"/>
      <c r="F538" s="71"/>
      <c r="G538" s="73"/>
      <c r="H538" s="7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67"/>
      <c r="B539" s="33"/>
      <c r="C539" s="67"/>
      <c r="D539" s="67"/>
      <c r="E539" s="67"/>
      <c r="F539" s="71"/>
      <c r="G539" s="73"/>
      <c r="H539" s="7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67"/>
      <c r="B540" s="33"/>
      <c r="C540" s="67"/>
      <c r="D540" s="67"/>
      <c r="E540" s="67"/>
      <c r="F540" s="71"/>
      <c r="G540" s="73"/>
      <c r="H540" s="7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67"/>
      <c r="B541" s="33"/>
      <c r="C541" s="67"/>
      <c r="D541" s="67"/>
      <c r="E541" s="67"/>
      <c r="F541" s="71"/>
      <c r="G541" s="73"/>
      <c r="H541" s="7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67"/>
      <c r="B542" s="33"/>
      <c r="C542" s="67"/>
      <c r="D542" s="67"/>
      <c r="E542" s="67"/>
      <c r="F542" s="71"/>
      <c r="G542" s="73"/>
      <c r="H542" s="7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67"/>
      <c r="B543" s="33"/>
      <c r="C543" s="67"/>
      <c r="D543" s="67"/>
      <c r="E543" s="67"/>
      <c r="F543" s="71"/>
      <c r="G543" s="73"/>
      <c r="H543" s="7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67"/>
      <c r="B544" s="33"/>
      <c r="C544" s="67"/>
      <c r="D544" s="67"/>
      <c r="E544" s="67"/>
      <c r="F544" s="71"/>
      <c r="G544" s="73"/>
      <c r="H544" s="7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67"/>
      <c r="B545" s="33"/>
      <c r="C545" s="67"/>
      <c r="D545" s="67"/>
      <c r="E545" s="67"/>
      <c r="F545" s="71"/>
      <c r="G545" s="73"/>
      <c r="H545" s="7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67"/>
      <c r="B546" s="33"/>
      <c r="C546" s="67"/>
      <c r="D546" s="67"/>
      <c r="E546" s="67"/>
      <c r="F546" s="71"/>
      <c r="G546" s="73"/>
      <c r="H546" s="7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67"/>
      <c r="B547" s="33"/>
      <c r="C547" s="67"/>
      <c r="D547" s="67"/>
      <c r="E547" s="67"/>
      <c r="F547" s="71"/>
      <c r="G547" s="73"/>
      <c r="H547" s="7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67"/>
      <c r="B548" s="33"/>
      <c r="C548" s="67"/>
      <c r="D548" s="67"/>
      <c r="E548" s="67"/>
      <c r="F548" s="71"/>
      <c r="G548" s="73"/>
      <c r="H548" s="7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67"/>
      <c r="B549" s="33"/>
      <c r="C549" s="67"/>
      <c r="D549" s="67"/>
      <c r="E549" s="67"/>
      <c r="F549" s="71"/>
      <c r="G549" s="73"/>
      <c r="H549" s="7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67"/>
      <c r="B550" s="33"/>
      <c r="C550" s="67"/>
      <c r="D550" s="67"/>
      <c r="E550" s="67"/>
      <c r="F550" s="71"/>
      <c r="G550" s="73"/>
      <c r="H550" s="7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67"/>
      <c r="B551" s="33"/>
      <c r="C551" s="67"/>
      <c r="D551" s="67"/>
      <c r="E551" s="67"/>
      <c r="F551" s="71"/>
      <c r="G551" s="73"/>
      <c r="H551" s="7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67"/>
      <c r="B552" s="33"/>
      <c r="C552" s="67"/>
      <c r="D552" s="67"/>
      <c r="E552" s="67"/>
      <c r="F552" s="71"/>
      <c r="G552" s="73"/>
      <c r="H552" s="7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67"/>
      <c r="B553" s="33"/>
      <c r="C553" s="67"/>
      <c r="D553" s="67"/>
      <c r="E553" s="67"/>
      <c r="F553" s="71"/>
      <c r="G553" s="73"/>
      <c r="H553" s="7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67"/>
      <c r="B554" s="33"/>
      <c r="C554" s="67"/>
      <c r="D554" s="67"/>
      <c r="E554" s="67"/>
      <c r="F554" s="71"/>
      <c r="G554" s="73"/>
      <c r="H554" s="7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67"/>
      <c r="B555" s="33"/>
      <c r="C555" s="67"/>
      <c r="D555" s="67"/>
      <c r="E555" s="67"/>
      <c r="F555" s="71"/>
      <c r="G555" s="73"/>
      <c r="H555" s="7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67"/>
      <c r="B556" s="33"/>
      <c r="C556" s="67"/>
      <c r="D556" s="67"/>
      <c r="E556" s="67"/>
      <c r="F556" s="71"/>
      <c r="G556" s="73"/>
      <c r="H556" s="7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67"/>
      <c r="B557" s="33"/>
      <c r="C557" s="67"/>
      <c r="D557" s="67"/>
      <c r="E557" s="67"/>
      <c r="F557" s="71"/>
      <c r="G557" s="73"/>
      <c r="H557" s="7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67"/>
      <c r="B558" s="33"/>
      <c r="C558" s="67"/>
      <c r="D558" s="67"/>
      <c r="E558" s="67"/>
      <c r="F558" s="71"/>
      <c r="G558" s="73"/>
      <c r="H558" s="7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67"/>
      <c r="B559" s="33"/>
      <c r="C559" s="67"/>
      <c r="D559" s="67"/>
      <c r="E559" s="67"/>
      <c r="F559" s="71"/>
      <c r="G559" s="73"/>
      <c r="H559" s="7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67"/>
      <c r="B560" s="33"/>
      <c r="C560" s="67"/>
      <c r="D560" s="67"/>
      <c r="E560" s="67"/>
      <c r="F560" s="71"/>
      <c r="G560" s="73"/>
      <c r="H560" s="7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67"/>
      <c r="B561" s="33"/>
      <c r="C561" s="67"/>
      <c r="D561" s="67"/>
      <c r="E561" s="67"/>
      <c r="F561" s="71"/>
      <c r="G561" s="73"/>
      <c r="H561" s="7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67"/>
      <c r="B562" s="33"/>
      <c r="C562" s="67"/>
      <c r="D562" s="67"/>
      <c r="E562" s="67"/>
      <c r="F562" s="71"/>
      <c r="G562" s="73"/>
      <c r="H562" s="7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67"/>
      <c r="B563" s="33"/>
      <c r="C563" s="67"/>
      <c r="D563" s="67"/>
      <c r="E563" s="67"/>
      <c r="F563" s="71"/>
      <c r="G563" s="73"/>
      <c r="H563" s="7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67"/>
      <c r="B564" s="33"/>
      <c r="C564" s="67"/>
      <c r="D564" s="67"/>
      <c r="E564" s="67"/>
      <c r="F564" s="71"/>
      <c r="G564" s="73"/>
      <c r="H564" s="7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67"/>
      <c r="B565" s="33"/>
      <c r="C565" s="67"/>
      <c r="D565" s="67"/>
      <c r="E565" s="67"/>
      <c r="F565" s="71"/>
      <c r="G565" s="73"/>
      <c r="H565" s="7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67"/>
      <c r="B566" s="33"/>
      <c r="C566" s="67"/>
      <c r="D566" s="67"/>
      <c r="E566" s="67"/>
      <c r="F566" s="71"/>
      <c r="G566" s="73"/>
      <c r="H566" s="7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67"/>
      <c r="B567" s="33"/>
      <c r="C567" s="67"/>
      <c r="D567" s="67"/>
      <c r="E567" s="67"/>
      <c r="F567" s="71"/>
      <c r="G567" s="73"/>
      <c r="H567" s="7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67"/>
      <c r="B568" s="33"/>
      <c r="C568" s="67"/>
      <c r="D568" s="67"/>
      <c r="E568" s="67"/>
      <c r="F568" s="71"/>
      <c r="G568" s="73"/>
      <c r="H568" s="7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67"/>
      <c r="B569" s="33"/>
      <c r="C569" s="67"/>
      <c r="D569" s="67"/>
      <c r="E569" s="67"/>
      <c r="F569" s="71"/>
      <c r="G569" s="73"/>
      <c r="H569" s="7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67"/>
      <c r="B570" s="33"/>
      <c r="C570" s="67"/>
      <c r="D570" s="67"/>
      <c r="E570" s="67"/>
      <c r="F570" s="71"/>
      <c r="G570" s="73"/>
      <c r="H570" s="7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67"/>
      <c r="B571" s="33"/>
      <c r="C571" s="67"/>
      <c r="D571" s="67"/>
      <c r="E571" s="67"/>
      <c r="F571" s="71"/>
      <c r="G571" s="73"/>
      <c r="H571" s="7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67"/>
      <c r="B572" s="33"/>
      <c r="C572" s="67"/>
      <c r="D572" s="67"/>
      <c r="E572" s="67"/>
      <c r="F572" s="71"/>
      <c r="G572" s="73"/>
      <c r="H572" s="7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67"/>
      <c r="B573" s="33"/>
      <c r="C573" s="67"/>
      <c r="D573" s="67"/>
      <c r="E573" s="67"/>
      <c r="F573" s="71"/>
      <c r="G573" s="73"/>
      <c r="H573" s="7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67"/>
      <c r="B574" s="33"/>
      <c r="C574" s="67"/>
      <c r="D574" s="67"/>
      <c r="E574" s="67"/>
      <c r="F574" s="71"/>
      <c r="G574" s="73"/>
      <c r="H574" s="7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67"/>
      <c r="B575" s="33"/>
      <c r="C575" s="67"/>
      <c r="D575" s="67"/>
      <c r="E575" s="67"/>
      <c r="F575" s="71"/>
      <c r="G575" s="73"/>
      <c r="H575" s="7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67"/>
      <c r="B576" s="33"/>
      <c r="C576" s="67"/>
      <c r="D576" s="67"/>
      <c r="E576" s="67"/>
      <c r="F576" s="71"/>
      <c r="G576" s="73"/>
      <c r="H576" s="7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67"/>
      <c r="B577" s="33"/>
      <c r="C577" s="67"/>
      <c r="D577" s="67"/>
      <c r="E577" s="67"/>
      <c r="F577" s="71"/>
      <c r="G577" s="73"/>
      <c r="H577" s="7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67"/>
      <c r="B578" s="33"/>
      <c r="C578" s="67"/>
      <c r="D578" s="67"/>
      <c r="E578" s="67"/>
      <c r="F578" s="71"/>
      <c r="G578" s="73"/>
      <c r="H578" s="7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67"/>
      <c r="B579" s="33"/>
      <c r="C579" s="67"/>
      <c r="D579" s="67"/>
      <c r="E579" s="67"/>
      <c r="F579" s="71"/>
      <c r="G579" s="73"/>
      <c r="H579" s="7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67"/>
      <c r="B580" s="33"/>
      <c r="C580" s="67"/>
      <c r="D580" s="67"/>
      <c r="E580" s="67"/>
      <c r="F580" s="71"/>
      <c r="G580" s="73"/>
      <c r="H580" s="7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67"/>
      <c r="B581" s="33"/>
      <c r="C581" s="67"/>
      <c r="D581" s="67"/>
      <c r="E581" s="67"/>
      <c r="F581" s="71"/>
      <c r="G581" s="73"/>
      <c r="H581" s="7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67"/>
      <c r="B582" s="33"/>
      <c r="C582" s="67"/>
      <c r="D582" s="67"/>
      <c r="E582" s="67"/>
      <c r="F582" s="71"/>
      <c r="G582" s="73"/>
      <c r="H582" s="7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67"/>
      <c r="B583" s="33"/>
      <c r="C583" s="67"/>
      <c r="D583" s="67"/>
      <c r="E583" s="67"/>
      <c r="F583" s="71"/>
      <c r="G583" s="73"/>
      <c r="H583" s="7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67"/>
      <c r="B584" s="33"/>
      <c r="C584" s="67"/>
      <c r="D584" s="67"/>
      <c r="E584" s="67"/>
      <c r="F584" s="71"/>
      <c r="G584" s="73"/>
      <c r="H584" s="7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67"/>
      <c r="B585" s="33"/>
      <c r="C585" s="67"/>
      <c r="D585" s="67"/>
      <c r="E585" s="67"/>
      <c r="F585" s="71"/>
      <c r="G585" s="73"/>
      <c r="H585" s="7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67"/>
      <c r="B586" s="33"/>
      <c r="C586" s="67"/>
      <c r="D586" s="67"/>
      <c r="E586" s="67"/>
      <c r="F586" s="71"/>
      <c r="G586" s="73"/>
      <c r="H586" s="7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67"/>
      <c r="B587" s="33"/>
      <c r="C587" s="67"/>
      <c r="D587" s="67"/>
      <c r="E587" s="67"/>
      <c r="F587" s="71"/>
      <c r="G587" s="73"/>
      <c r="H587" s="7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67"/>
      <c r="B588" s="33"/>
      <c r="C588" s="67"/>
      <c r="D588" s="67"/>
      <c r="E588" s="67"/>
      <c r="F588" s="71"/>
      <c r="G588" s="73"/>
      <c r="H588" s="7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67"/>
      <c r="B589" s="33"/>
      <c r="C589" s="67"/>
      <c r="D589" s="67"/>
      <c r="E589" s="67"/>
      <c r="F589" s="71"/>
      <c r="G589" s="73"/>
      <c r="H589" s="7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67"/>
      <c r="B590" s="33"/>
      <c r="C590" s="67"/>
      <c r="D590" s="67"/>
      <c r="E590" s="67"/>
      <c r="F590" s="71"/>
      <c r="G590" s="73"/>
      <c r="H590" s="7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67"/>
      <c r="B591" s="33"/>
      <c r="C591" s="67"/>
      <c r="D591" s="67"/>
      <c r="E591" s="67"/>
      <c r="F591" s="71"/>
      <c r="G591" s="73"/>
      <c r="H591" s="7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67"/>
      <c r="B592" s="33"/>
      <c r="C592" s="67"/>
      <c r="D592" s="67"/>
      <c r="E592" s="67"/>
      <c r="F592" s="71"/>
      <c r="G592" s="73"/>
      <c r="H592" s="7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67"/>
      <c r="B593" s="33"/>
      <c r="C593" s="67"/>
      <c r="D593" s="67"/>
      <c r="E593" s="67"/>
      <c r="F593" s="71"/>
      <c r="G593" s="73"/>
      <c r="H593" s="7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67"/>
      <c r="B594" s="33"/>
      <c r="C594" s="67"/>
      <c r="D594" s="67"/>
      <c r="E594" s="67"/>
      <c r="F594" s="71"/>
      <c r="G594" s="73"/>
      <c r="H594" s="7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67"/>
      <c r="B595" s="33"/>
      <c r="C595" s="67"/>
      <c r="D595" s="67"/>
      <c r="E595" s="67"/>
      <c r="F595" s="71"/>
      <c r="G595" s="73"/>
      <c r="H595" s="7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67"/>
      <c r="B596" s="33"/>
      <c r="C596" s="67"/>
      <c r="D596" s="67"/>
      <c r="E596" s="67"/>
      <c r="F596" s="71"/>
      <c r="G596" s="73"/>
      <c r="H596" s="7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67"/>
      <c r="B597" s="33"/>
      <c r="C597" s="67"/>
      <c r="D597" s="67"/>
      <c r="E597" s="67"/>
      <c r="F597" s="71"/>
      <c r="G597" s="73"/>
      <c r="H597" s="73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67"/>
      <c r="B598" s="33"/>
      <c r="C598" s="67"/>
      <c r="D598" s="67"/>
      <c r="E598" s="67"/>
      <c r="F598" s="71"/>
      <c r="G598" s="73"/>
      <c r="H598" s="73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67"/>
      <c r="B599" s="33"/>
      <c r="C599" s="67"/>
      <c r="D599" s="67"/>
      <c r="E599" s="67"/>
      <c r="F599" s="71"/>
      <c r="G599" s="73"/>
      <c r="H599" s="73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67"/>
      <c r="B600" s="33"/>
      <c r="C600" s="67"/>
      <c r="D600" s="67"/>
      <c r="E600" s="67"/>
      <c r="F600" s="71"/>
      <c r="G600" s="73"/>
      <c r="H600" s="73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67"/>
      <c r="B601" s="33"/>
      <c r="C601" s="67"/>
      <c r="D601" s="67"/>
      <c r="E601" s="67"/>
      <c r="F601" s="71"/>
      <c r="G601" s="73"/>
      <c r="H601" s="73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67"/>
      <c r="B602" s="33"/>
      <c r="C602" s="67"/>
      <c r="D602" s="67"/>
      <c r="E602" s="67"/>
      <c r="F602" s="71"/>
      <c r="G602" s="73"/>
      <c r="H602" s="73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67"/>
      <c r="B603" s="33"/>
      <c r="C603" s="67"/>
      <c r="D603" s="67"/>
      <c r="E603" s="67"/>
      <c r="F603" s="71"/>
      <c r="G603" s="73"/>
      <c r="H603" s="73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67"/>
      <c r="B604" s="33"/>
      <c r="C604" s="67"/>
      <c r="D604" s="67"/>
      <c r="E604" s="67"/>
      <c r="F604" s="71"/>
      <c r="G604" s="73"/>
      <c r="H604" s="73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67"/>
      <c r="B605" s="33"/>
      <c r="C605" s="67"/>
      <c r="D605" s="67"/>
      <c r="E605" s="67"/>
      <c r="F605" s="71"/>
      <c r="G605" s="73"/>
      <c r="H605" s="73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67"/>
      <c r="B606" s="33"/>
      <c r="C606" s="67"/>
      <c r="D606" s="67"/>
      <c r="E606" s="67"/>
      <c r="F606" s="71"/>
      <c r="G606" s="73"/>
      <c r="H606" s="73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67"/>
      <c r="B607" s="33"/>
      <c r="C607" s="67"/>
      <c r="D607" s="67"/>
      <c r="E607" s="67"/>
      <c r="F607" s="71"/>
      <c r="G607" s="73"/>
      <c r="H607" s="73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67"/>
      <c r="B608" s="33"/>
      <c r="C608" s="67"/>
      <c r="D608" s="67"/>
      <c r="E608" s="67"/>
      <c r="F608" s="71"/>
      <c r="G608" s="73"/>
      <c r="H608" s="73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67"/>
      <c r="B609" s="33"/>
      <c r="C609" s="67"/>
      <c r="D609" s="67"/>
      <c r="E609" s="67"/>
      <c r="F609" s="71"/>
      <c r="G609" s="73"/>
      <c r="H609" s="73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67"/>
      <c r="B610" s="33"/>
      <c r="C610" s="67"/>
      <c r="D610" s="67"/>
      <c r="E610" s="67"/>
      <c r="F610" s="71"/>
      <c r="G610" s="73"/>
      <c r="H610" s="73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67"/>
      <c r="B611" s="33"/>
      <c r="C611" s="67"/>
      <c r="D611" s="67"/>
      <c r="E611" s="67"/>
      <c r="F611" s="71"/>
      <c r="G611" s="73"/>
      <c r="H611" s="73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67"/>
      <c r="B612" s="33"/>
      <c r="C612" s="67"/>
      <c r="D612" s="67"/>
      <c r="E612" s="67"/>
      <c r="F612" s="71"/>
      <c r="G612" s="73"/>
      <c r="H612" s="73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67"/>
      <c r="B613" s="33"/>
      <c r="C613" s="67"/>
      <c r="D613" s="67"/>
      <c r="E613" s="67"/>
      <c r="F613" s="71"/>
      <c r="G613" s="73"/>
      <c r="H613" s="73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67"/>
      <c r="B614" s="33"/>
      <c r="C614" s="67"/>
      <c r="D614" s="67"/>
      <c r="E614" s="67"/>
      <c r="F614" s="71"/>
      <c r="G614" s="73"/>
      <c r="H614" s="73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67"/>
      <c r="B615" s="33"/>
      <c r="C615" s="67"/>
      <c r="D615" s="67"/>
      <c r="E615" s="67"/>
      <c r="F615" s="71"/>
      <c r="G615" s="73"/>
      <c r="H615" s="73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67"/>
      <c r="B616" s="33"/>
      <c r="C616" s="67"/>
      <c r="D616" s="67"/>
      <c r="E616" s="67"/>
      <c r="F616" s="71"/>
      <c r="G616" s="73"/>
      <c r="H616" s="73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67"/>
      <c r="B617" s="33"/>
      <c r="C617" s="67"/>
      <c r="D617" s="67"/>
      <c r="E617" s="67"/>
      <c r="F617" s="71"/>
      <c r="G617" s="73"/>
      <c r="H617" s="73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67"/>
      <c r="B618" s="33"/>
      <c r="C618" s="67"/>
      <c r="D618" s="67"/>
      <c r="E618" s="67"/>
      <c r="F618" s="71"/>
      <c r="G618" s="73"/>
      <c r="H618" s="73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67"/>
      <c r="B619" s="33"/>
      <c r="C619" s="67"/>
      <c r="D619" s="67"/>
      <c r="E619" s="67"/>
      <c r="F619" s="71"/>
      <c r="G619" s="73"/>
      <c r="H619" s="73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67"/>
      <c r="B620" s="33"/>
      <c r="C620" s="67"/>
      <c r="D620" s="67"/>
      <c r="E620" s="67"/>
      <c r="F620" s="71"/>
      <c r="G620" s="73"/>
      <c r="H620" s="73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67"/>
      <c r="B621" s="33"/>
      <c r="C621" s="67"/>
      <c r="D621" s="67"/>
      <c r="E621" s="67"/>
      <c r="F621" s="71"/>
      <c r="G621" s="73"/>
      <c r="H621" s="73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67"/>
      <c r="B622" s="33"/>
      <c r="C622" s="67"/>
      <c r="D622" s="67"/>
      <c r="E622" s="67"/>
      <c r="F622" s="71"/>
      <c r="G622" s="73"/>
      <c r="H622" s="73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67"/>
      <c r="B623" s="33"/>
      <c r="C623" s="67"/>
      <c r="D623" s="67"/>
      <c r="E623" s="67"/>
      <c r="F623" s="71"/>
      <c r="G623" s="73"/>
      <c r="H623" s="73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67"/>
      <c r="B624" s="33"/>
      <c r="C624" s="67"/>
      <c r="D624" s="67"/>
      <c r="E624" s="67"/>
      <c r="F624" s="71"/>
      <c r="G624" s="73"/>
      <c r="H624" s="73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67"/>
      <c r="B625" s="33"/>
      <c r="C625" s="67"/>
      <c r="D625" s="67"/>
      <c r="E625" s="67"/>
      <c r="F625" s="71"/>
      <c r="G625" s="73"/>
      <c r="H625" s="73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67"/>
      <c r="B626" s="33"/>
      <c r="C626" s="67"/>
      <c r="D626" s="67"/>
      <c r="E626" s="67"/>
      <c r="F626" s="71"/>
      <c r="G626" s="73"/>
      <c r="H626" s="73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67"/>
      <c r="B627" s="33"/>
      <c r="C627" s="67"/>
      <c r="D627" s="67"/>
      <c r="E627" s="67"/>
      <c r="F627" s="71"/>
      <c r="G627" s="73"/>
      <c r="H627" s="73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67"/>
      <c r="B628" s="33"/>
      <c r="C628" s="67"/>
      <c r="D628" s="67"/>
      <c r="E628" s="67"/>
      <c r="F628" s="71"/>
      <c r="G628" s="73"/>
      <c r="H628" s="73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67"/>
      <c r="B629" s="33"/>
      <c r="C629" s="67"/>
      <c r="D629" s="67"/>
      <c r="E629" s="67"/>
      <c r="F629" s="71"/>
      <c r="G629" s="73"/>
      <c r="H629" s="73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67"/>
      <c r="B630" s="33"/>
      <c r="C630" s="67"/>
      <c r="D630" s="67"/>
      <c r="E630" s="67"/>
      <c r="F630" s="71"/>
      <c r="G630" s="73"/>
      <c r="H630" s="73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67"/>
      <c r="B631" s="33"/>
      <c r="C631" s="67"/>
      <c r="D631" s="67"/>
      <c r="E631" s="67"/>
      <c r="F631" s="71"/>
      <c r="G631" s="73"/>
      <c r="H631" s="73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67"/>
      <c r="B632" s="33"/>
      <c r="C632" s="67"/>
      <c r="D632" s="67"/>
      <c r="E632" s="67"/>
      <c r="F632" s="71"/>
      <c r="G632" s="73"/>
      <c r="H632" s="73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67"/>
      <c r="B633" s="33"/>
      <c r="C633" s="67"/>
      <c r="D633" s="67"/>
      <c r="E633" s="67"/>
      <c r="F633" s="71"/>
      <c r="G633" s="73"/>
      <c r="H633" s="73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67"/>
      <c r="B634" s="33"/>
      <c r="C634" s="67"/>
      <c r="D634" s="67"/>
      <c r="E634" s="67"/>
      <c r="F634" s="71"/>
      <c r="G634" s="73"/>
      <c r="H634" s="73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67"/>
      <c r="B635" s="33"/>
      <c r="C635" s="67"/>
      <c r="D635" s="67"/>
      <c r="E635" s="67"/>
      <c r="F635" s="71"/>
      <c r="G635" s="73"/>
      <c r="H635" s="73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67"/>
      <c r="B636" s="33"/>
      <c r="C636" s="67"/>
      <c r="D636" s="67"/>
      <c r="E636" s="67"/>
      <c r="F636" s="71"/>
      <c r="G636" s="73"/>
      <c r="H636" s="73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67"/>
      <c r="B637" s="33"/>
      <c r="C637" s="67"/>
      <c r="D637" s="67"/>
      <c r="E637" s="67"/>
      <c r="F637" s="71"/>
      <c r="G637" s="73"/>
      <c r="H637" s="73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67"/>
      <c r="B638" s="33"/>
      <c r="C638" s="67"/>
      <c r="D638" s="67"/>
      <c r="E638" s="67"/>
      <c r="F638" s="71"/>
      <c r="G638" s="73"/>
      <c r="H638" s="73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67"/>
      <c r="B639" s="33"/>
      <c r="C639" s="67"/>
      <c r="D639" s="67"/>
      <c r="E639" s="67"/>
      <c r="F639" s="71"/>
      <c r="G639" s="73"/>
      <c r="H639" s="73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67"/>
      <c r="B640" s="33"/>
      <c r="C640" s="67"/>
      <c r="D640" s="67"/>
      <c r="E640" s="67"/>
      <c r="F640" s="71"/>
      <c r="G640" s="73"/>
      <c r="H640" s="73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67"/>
      <c r="B641" s="33"/>
      <c r="C641" s="67"/>
      <c r="D641" s="67"/>
      <c r="E641" s="67"/>
      <c r="F641" s="71"/>
      <c r="G641" s="73"/>
      <c r="H641" s="73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67"/>
      <c r="B642" s="33"/>
      <c r="C642" s="67"/>
      <c r="D642" s="67"/>
      <c r="E642" s="67"/>
      <c r="F642" s="71"/>
      <c r="G642" s="73"/>
      <c r="H642" s="73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67"/>
      <c r="B643" s="33"/>
      <c r="C643" s="67"/>
      <c r="D643" s="67"/>
      <c r="E643" s="67"/>
      <c r="F643" s="71"/>
      <c r="G643" s="73"/>
      <c r="H643" s="73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67"/>
      <c r="B644" s="33"/>
      <c r="C644" s="67"/>
      <c r="D644" s="67"/>
      <c r="E644" s="67"/>
      <c r="F644" s="71"/>
      <c r="G644" s="73"/>
      <c r="H644" s="73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67"/>
      <c r="B645" s="33"/>
      <c r="C645" s="67"/>
      <c r="D645" s="67"/>
      <c r="E645" s="67"/>
      <c r="F645" s="71"/>
      <c r="G645" s="73"/>
      <c r="H645" s="73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67"/>
      <c r="B646" s="33"/>
      <c r="C646" s="67"/>
      <c r="D646" s="67"/>
      <c r="E646" s="67"/>
      <c r="F646" s="71"/>
      <c r="G646" s="73"/>
      <c r="H646" s="73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67"/>
      <c r="B647" s="33"/>
      <c r="C647" s="67"/>
      <c r="D647" s="67"/>
      <c r="E647" s="67"/>
      <c r="F647" s="71"/>
      <c r="G647" s="73"/>
      <c r="H647" s="73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67"/>
      <c r="B648" s="33"/>
      <c r="C648" s="67"/>
      <c r="D648" s="67"/>
      <c r="E648" s="67"/>
      <c r="F648" s="71"/>
      <c r="G648" s="73"/>
      <c r="H648" s="73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67"/>
      <c r="B649" s="33"/>
      <c r="C649" s="67"/>
      <c r="D649" s="67"/>
      <c r="E649" s="67"/>
      <c r="F649" s="71"/>
      <c r="G649" s="73"/>
      <c r="H649" s="73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67"/>
      <c r="B650" s="33"/>
      <c r="C650" s="67"/>
      <c r="D650" s="67"/>
      <c r="E650" s="67"/>
      <c r="F650" s="71"/>
      <c r="G650" s="73"/>
      <c r="H650" s="73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67"/>
      <c r="B651" s="33"/>
      <c r="C651" s="67"/>
      <c r="D651" s="67"/>
      <c r="E651" s="67"/>
      <c r="F651" s="71"/>
      <c r="G651" s="73"/>
      <c r="H651" s="73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67"/>
      <c r="B652" s="33"/>
      <c r="C652" s="67"/>
      <c r="D652" s="67"/>
      <c r="E652" s="67"/>
      <c r="F652" s="71"/>
      <c r="G652" s="73"/>
      <c r="H652" s="73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67"/>
      <c r="B653" s="33"/>
      <c r="C653" s="67"/>
      <c r="D653" s="67"/>
      <c r="E653" s="67"/>
      <c r="F653" s="71"/>
      <c r="G653" s="73"/>
      <c r="H653" s="73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67"/>
      <c r="B654" s="33"/>
      <c r="C654" s="67"/>
      <c r="D654" s="67"/>
      <c r="E654" s="67"/>
      <c r="F654" s="71"/>
      <c r="G654" s="73"/>
      <c r="H654" s="73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67"/>
      <c r="B655" s="33"/>
      <c r="C655" s="67"/>
      <c r="D655" s="67"/>
      <c r="E655" s="67"/>
      <c r="F655" s="71"/>
      <c r="G655" s="73"/>
      <c r="H655" s="73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67"/>
      <c r="B656" s="33"/>
      <c r="C656" s="67"/>
      <c r="D656" s="67"/>
      <c r="E656" s="67"/>
      <c r="F656" s="71"/>
      <c r="G656" s="73"/>
      <c r="H656" s="73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67"/>
      <c r="B657" s="33"/>
      <c r="C657" s="67"/>
      <c r="D657" s="67"/>
      <c r="E657" s="67"/>
      <c r="F657" s="71"/>
      <c r="G657" s="73"/>
      <c r="H657" s="73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67"/>
      <c r="B658" s="33"/>
      <c r="C658" s="67"/>
      <c r="D658" s="67"/>
      <c r="E658" s="67"/>
      <c r="F658" s="71"/>
      <c r="G658" s="73"/>
      <c r="H658" s="73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67"/>
      <c r="B659" s="33"/>
      <c r="C659" s="67"/>
      <c r="D659" s="67"/>
      <c r="E659" s="67"/>
      <c r="F659" s="71"/>
      <c r="G659" s="73"/>
      <c r="H659" s="73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67"/>
      <c r="B660" s="33"/>
      <c r="C660" s="67"/>
      <c r="D660" s="67"/>
      <c r="E660" s="67"/>
      <c r="F660" s="71"/>
      <c r="G660" s="73"/>
      <c r="H660" s="73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67"/>
      <c r="B661" s="33"/>
      <c r="C661" s="67"/>
      <c r="D661" s="67"/>
      <c r="E661" s="67"/>
      <c r="F661" s="71"/>
      <c r="G661" s="73"/>
      <c r="H661" s="73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67"/>
      <c r="B662" s="33"/>
      <c r="C662" s="67"/>
      <c r="D662" s="67"/>
      <c r="E662" s="67"/>
      <c r="F662" s="71"/>
      <c r="G662" s="73"/>
      <c r="H662" s="73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67"/>
      <c r="B663" s="33"/>
      <c r="C663" s="67"/>
      <c r="D663" s="67"/>
      <c r="E663" s="67"/>
      <c r="F663" s="71"/>
      <c r="G663" s="73"/>
      <c r="H663" s="73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67"/>
      <c r="B664" s="33"/>
      <c r="C664" s="67"/>
      <c r="D664" s="67"/>
      <c r="E664" s="67"/>
      <c r="F664" s="71"/>
      <c r="G664" s="73"/>
      <c r="H664" s="73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67"/>
      <c r="B665" s="33"/>
      <c r="C665" s="67"/>
      <c r="D665" s="67"/>
      <c r="E665" s="67"/>
      <c r="F665" s="71"/>
      <c r="G665" s="73"/>
      <c r="H665" s="73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67"/>
      <c r="B666" s="33"/>
      <c r="C666" s="67"/>
      <c r="D666" s="67"/>
      <c r="E666" s="67"/>
      <c r="F666" s="71"/>
      <c r="G666" s="73"/>
      <c r="H666" s="73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67"/>
      <c r="B667" s="33"/>
      <c r="C667" s="67"/>
      <c r="D667" s="67"/>
      <c r="E667" s="67"/>
      <c r="F667" s="71"/>
      <c r="G667" s="73"/>
      <c r="H667" s="73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67"/>
      <c r="B668" s="33"/>
      <c r="C668" s="67"/>
      <c r="D668" s="67"/>
      <c r="E668" s="67"/>
      <c r="F668" s="71"/>
      <c r="G668" s="73"/>
      <c r="H668" s="73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67"/>
      <c r="B669" s="33"/>
      <c r="C669" s="67"/>
      <c r="D669" s="67"/>
      <c r="E669" s="67"/>
      <c r="F669" s="71"/>
      <c r="G669" s="73"/>
      <c r="H669" s="73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67"/>
      <c r="B670" s="33"/>
      <c r="C670" s="67"/>
      <c r="D670" s="67"/>
      <c r="E670" s="67"/>
      <c r="F670" s="71"/>
      <c r="G670" s="73"/>
      <c r="H670" s="73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67"/>
      <c r="B671" s="33"/>
      <c r="C671" s="67"/>
      <c r="D671" s="67"/>
      <c r="E671" s="67"/>
      <c r="F671" s="71"/>
      <c r="G671" s="73"/>
      <c r="H671" s="73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67"/>
      <c r="B672" s="33"/>
      <c r="C672" s="67"/>
      <c r="D672" s="67"/>
      <c r="E672" s="67"/>
      <c r="F672" s="71"/>
      <c r="G672" s="73"/>
      <c r="H672" s="73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67"/>
      <c r="B673" s="33"/>
      <c r="C673" s="67"/>
      <c r="D673" s="67"/>
      <c r="E673" s="67"/>
      <c r="F673" s="71"/>
      <c r="G673" s="73"/>
      <c r="H673" s="73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67"/>
      <c r="B674" s="33"/>
      <c r="C674" s="67"/>
      <c r="D674" s="67"/>
      <c r="E674" s="67"/>
      <c r="F674" s="71"/>
      <c r="G674" s="73"/>
      <c r="H674" s="73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67"/>
      <c r="B675" s="33"/>
      <c r="C675" s="67"/>
      <c r="D675" s="67"/>
      <c r="E675" s="67"/>
      <c r="F675" s="71"/>
      <c r="G675" s="73"/>
      <c r="H675" s="73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67"/>
      <c r="B676" s="33"/>
      <c r="C676" s="67"/>
      <c r="D676" s="67"/>
      <c r="E676" s="67"/>
      <c r="F676" s="71"/>
      <c r="G676" s="73"/>
      <c r="H676" s="73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67"/>
      <c r="B677" s="33"/>
      <c r="C677" s="67"/>
      <c r="D677" s="67"/>
      <c r="E677" s="67"/>
      <c r="F677" s="71"/>
      <c r="G677" s="73"/>
      <c r="H677" s="73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67"/>
      <c r="B678" s="33"/>
      <c r="C678" s="67"/>
      <c r="D678" s="67"/>
      <c r="E678" s="67"/>
      <c r="F678" s="71"/>
      <c r="G678" s="73"/>
      <c r="H678" s="73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67"/>
      <c r="B679" s="33"/>
      <c r="C679" s="67"/>
      <c r="D679" s="67"/>
      <c r="E679" s="67"/>
      <c r="F679" s="71"/>
      <c r="G679" s="73"/>
      <c r="H679" s="73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67"/>
      <c r="B680" s="33"/>
      <c r="C680" s="67"/>
      <c r="D680" s="67"/>
      <c r="E680" s="67"/>
      <c r="F680" s="71"/>
      <c r="G680" s="73"/>
      <c r="H680" s="73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67"/>
      <c r="B681" s="33"/>
      <c r="C681" s="67"/>
      <c r="D681" s="67"/>
      <c r="E681" s="67"/>
      <c r="F681" s="71"/>
      <c r="G681" s="73"/>
      <c r="H681" s="73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67"/>
      <c r="B682" s="33"/>
      <c r="C682" s="67"/>
      <c r="D682" s="67"/>
      <c r="E682" s="67"/>
      <c r="F682" s="71"/>
      <c r="G682" s="73"/>
      <c r="H682" s="73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67"/>
      <c r="B683" s="33"/>
      <c r="C683" s="67"/>
      <c r="D683" s="67"/>
      <c r="E683" s="67"/>
      <c r="F683" s="71"/>
      <c r="G683" s="73"/>
      <c r="H683" s="73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67"/>
      <c r="B684" s="33"/>
      <c r="C684" s="67"/>
      <c r="D684" s="67"/>
      <c r="E684" s="67"/>
      <c r="F684" s="71"/>
      <c r="G684" s="73"/>
      <c r="H684" s="73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67"/>
      <c r="B685" s="33"/>
      <c r="C685" s="67"/>
      <c r="D685" s="67"/>
      <c r="E685" s="67"/>
      <c r="F685" s="71"/>
      <c r="G685" s="73"/>
      <c r="H685" s="73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67"/>
      <c r="B686" s="33"/>
      <c r="C686" s="67"/>
      <c r="D686" s="67"/>
      <c r="E686" s="67"/>
      <c r="F686" s="71"/>
      <c r="G686" s="73"/>
      <c r="H686" s="73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67"/>
      <c r="B687" s="33"/>
      <c r="C687" s="67"/>
      <c r="D687" s="67"/>
      <c r="E687" s="67"/>
      <c r="F687" s="71"/>
      <c r="G687" s="73"/>
      <c r="H687" s="73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67"/>
      <c r="B688" s="33"/>
      <c r="C688" s="67"/>
      <c r="D688" s="67"/>
      <c r="E688" s="67"/>
      <c r="F688" s="71"/>
      <c r="G688" s="73"/>
      <c r="H688" s="73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67"/>
      <c r="B689" s="33"/>
      <c r="C689" s="67"/>
      <c r="D689" s="67"/>
      <c r="E689" s="67"/>
      <c r="F689" s="71"/>
      <c r="G689" s="73"/>
      <c r="H689" s="73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67"/>
      <c r="B690" s="33"/>
      <c r="C690" s="67"/>
      <c r="D690" s="67"/>
      <c r="E690" s="67"/>
      <c r="F690" s="71"/>
      <c r="G690" s="73"/>
      <c r="H690" s="73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67"/>
      <c r="B691" s="33"/>
      <c r="C691" s="67"/>
      <c r="D691" s="67"/>
      <c r="E691" s="67"/>
      <c r="F691" s="71"/>
      <c r="G691" s="73"/>
      <c r="H691" s="73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67"/>
      <c r="B692" s="33"/>
      <c r="C692" s="67"/>
      <c r="D692" s="67"/>
      <c r="E692" s="67"/>
      <c r="F692" s="71"/>
      <c r="G692" s="73"/>
      <c r="H692" s="73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67"/>
      <c r="B693" s="33"/>
      <c r="C693" s="67"/>
      <c r="D693" s="67"/>
      <c r="E693" s="67"/>
      <c r="F693" s="71"/>
      <c r="G693" s="73"/>
      <c r="H693" s="73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67"/>
      <c r="B694" s="33"/>
      <c r="C694" s="67"/>
      <c r="D694" s="67"/>
      <c r="E694" s="67"/>
      <c r="F694" s="71"/>
      <c r="G694" s="73"/>
      <c r="H694" s="73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67"/>
      <c r="B695" s="33"/>
      <c r="C695" s="67"/>
      <c r="D695" s="67"/>
      <c r="E695" s="67"/>
      <c r="F695" s="71"/>
      <c r="G695" s="73"/>
      <c r="H695" s="73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67"/>
      <c r="B696" s="33"/>
      <c r="C696" s="67"/>
      <c r="D696" s="67"/>
      <c r="E696" s="67"/>
      <c r="F696" s="71"/>
      <c r="G696" s="73"/>
      <c r="H696" s="73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67"/>
      <c r="B697" s="33"/>
      <c r="C697" s="67"/>
      <c r="D697" s="67"/>
      <c r="E697" s="67"/>
      <c r="F697" s="71"/>
      <c r="G697" s="73"/>
      <c r="H697" s="73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67"/>
      <c r="B698" s="33"/>
      <c r="C698" s="67"/>
      <c r="D698" s="67"/>
      <c r="E698" s="67"/>
      <c r="F698" s="71"/>
      <c r="G698" s="73"/>
      <c r="H698" s="73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67"/>
      <c r="B699" s="33"/>
      <c r="C699" s="67"/>
      <c r="D699" s="67"/>
      <c r="E699" s="67"/>
      <c r="F699" s="71"/>
      <c r="G699" s="73"/>
      <c r="H699" s="73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67"/>
      <c r="B700" s="33"/>
      <c r="C700" s="67"/>
      <c r="D700" s="67"/>
      <c r="E700" s="67"/>
      <c r="F700" s="71"/>
      <c r="G700" s="73"/>
      <c r="H700" s="73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67"/>
      <c r="B701" s="33"/>
      <c r="C701" s="67"/>
      <c r="D701" s="67"/>
      <c r="E701" s="67"/>
      <c r="F701" s="71"/>
      <c r="G701" s="73"/>
      <c r="H701" s="73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67"/>
      <c r="B702" s="33"/>
      <c r="C702" s="67"/>
      <c r="D702" s="67"/>
      <c r="E702" s="67"/>
      <c r="F702" s="71"/>
      <c r="G702" s="73"/>
      <c r="H702" s="73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67"/>
      <c r="B703" s="33"/>
      <c r="C703" s="67"/>
      <c r="D703" s="67"/>
      <c r="E703" s="67"/>
      <c r="F703" s="71"/>
      <c r="G703" s="73"/>
      <c r="H703" s="73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67"/>
      <c r="B704" s="33"/>
      <c r="C704" s="67"/>
      <c r="D704" s="67"/>
      <c r="E704" s="67"/>
      <c r="F704" s="71"/>
      <c r="G704" s="73"/>
      <c r="H704" s="73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67"/>
      <c r="B705" s="33"/>
      <c r="C705" s="67"/>
      <c r="D705" s="67"/>
      <c r="E705" s="67"/>
      <c r="F705" s="71"/>
      <c r="G705" s="73"/>
      <c r="H705" s="73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67"/>
      <c r="B706" s="33"/>
      <c r="C706" s="67"/>
      <c r="D706" s="67"/>
      <c r="E706" s="67"/>
      <c r="F706" s="71"/>
      <c r="G706" s="73"/>
      <c r="H706" s="73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67"/>
      <c r="B707" s="33"/>
      <c r="C707" s="67"/>
      <c r="D707" s="67"/>
      <c r="E707" s="67"/>
      <c r="F707" s="71"/>
      <c r="G707" s="73"/>
      <c r="H707" s="73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67"/>
      <c r="B708" s="33"/>
      <c r="C708" s="67"/>
      <c r="D708" s="67"/>
      <c r="E708" s="67"/>
      <c r="F708" s="71"/>
      <c r="G708" s="73"/>
      <c r="H708" s="73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67"/>
      <c r="B709" s="33"/>
      <c r="C709" s="67"/>
      <c r="D709" s="67"/>
      <c r="E709" s="67"/>
      <c r="F709" s="71"/>
      <c r="G709" s="73"/>
      <c r="H709" s="73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67"/>
      <c r="B710" s="33"/>
      <c r="C710" s="67"/>
      <c r="D710" s="67"/>
      <c r="E710" s="67"/>
      <c r="F710" s="71"/>
      <c r="G710" s="73"/>
      <c r="H710" s="73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67"/>
      <c r="B711" s="33"/>
      <c r="C711" s="67"/>
      <c r="D711" s="67"/>
      <c r="E711" s="67"/>
      <c r="F711" s="71"/>
      <c r="G711" s="73"/>
      <c r="H711" s="73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67"/>
      <c r="B712" s="33"/>
      <c r="C712" s="67"/>
      <c r="D712" s="67"/>
      <c r="E712" s="67"/>
      <c r="F712" s="71"/>
      <c r="G712" s="73"/>
      <c r="H712" s="73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67"/>
      <c r="B713" s="33"/>
      <c r="C713" s="67"/>
      <c r="D713" s="67"/>
      <c r="E713" s="67"/>
      <c r="F713" s="71"/>
      <c r="G713" s="73"/>
      <c r="H713" s="73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67"/>
      <c r="B714" s="33"/>
      <c r="C714" s="67"/>
      <c r="D714" s="67"/>
      <c r="E714" s="67"/>
      <c r="F714" s="71"/>
      <c r="G714" s="73"/>
      <c r="H714" s="73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67"/>
      <c r="B715" s="33"/>
      <c r="C715" s="67"/>
      <c r="D715" s="67"/>
      <c r="E715" s="67"/>
      <c r="F715" s="71"/>
      <c r="G715" s="73"/>
      <c r="H715" s="73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67"/>
      <c r="B716" s="33"/>
      <c r="C716" s="67"/>
      <c r="D716" s="67"/>
      <c r="E716" s="67"/>
      <c r="F716" s="71"/>
      <c r="G716" s="73"/>
      <c r="H716" s="73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67"/>
      <c r="B717" s="33"/>
      <c r="C717" s="67"/>
      <c r="D717" s="67"/>
      <c r="E717" s="67"/>
      <c r="F717" s="71"/>
      <c r="G717" s="73"/>
      <c r="H717" s="73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67"/>
      <c r="B718" s="33"/>
      <c r="C718" s="67"/>
      <c r="D718" s="67"/>
      <c r="E718" s="67"/>
      <c r="F718" s="71"/>
      <c r="G718" s="73"/>
      <c r="H718" s="73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67"/>
      <c r="B719" s="33"/>
      <c r="C719" s="67"/>
      <c r="D719" s="67"/>
      <c r="E719" s="67"/>
      <c r="F719" s="71"/>
      <c r="G719" s="73"/>
      <c r="H719" s="73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67"/>
      <c r="B720" s="33"/>
      <c r="C720" s="67"/>
      <c r="D720" s="67"/>
      <c r="E720" s="67"/>
      <c r="F720" s="71"/>
      <c r="G720" s="73"/>
      <c r="H720" s="73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67"/>
      <c r="B721" s="33"/>
      <c r="C721" s="67"/>
      <c r="D721" s="67"/>
      <c r="E721" s="67"/>
      <c r="F721" s="71"/>
      <c r="G721" s="73"/>
      <c r="H721" s="73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67"/>
      <c r="B722" s="33"/>
      <c r="C722" s="67"/>
      <c r="D722" s="67"/>
      <c r="E722" s="67"/>
      <c r="F722" s="71"/>
      <c r="G722" s="73"/>
      <c r="H722" s="73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67"/>
      <c r="B723" s="33"/>
      <c r="C723" s="67"/>
      <c r="D723" s="67"/>
      <c r="E723" s="67"/>
      <c r="F723" s="71"/>
      <c r="G723" s="73"/>
      <c r="H723" s="73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67"/>
      <c r="B724" s="33"/>
      <c r="C724" s="67"/>
      <c r="D724" s="67"/>
      <c r="E724" s="67"/>
      <c r="F724" s="71"/>
      <c r="G724" s="73"/>
      <c r="H724" s="73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67"/>
      <c r="B725" s="33"/>
      <c r="C725" s="67"/>
      <c r="D725" s="67"/>
      <c r="E725" s="67"/>
      <c r="F725" s="71"/>
      <c r="G725" s="73"/>
      <c r="H725" s="73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67"/>
      <c r="B726" s="33"/>
      <c r="C726" s="67"/>
      <c r="D726" s="67"/>
      <c r="E726" s="67"/>
      <c r="F726" s="71"/>
      <c r="G726" s="73"/>
      <c r="H726" s="73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67"/>
      <c r="B727" s="33"/>
      <c r="C727" s="67"/>
      <c r="D727" s="67"/>
      <c r="E727" s="67"/>
      <c r="F727" s="71"/>
      <c r="G727" s="73"/>
      <c r="H727" s="73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67"/>
      <c r="B728" s="33"/>
      <c r="C728" s="67"/>
      <c r="D728" s="67"/>
      <c r="E728" s="67"/>
      <c r="F728" s="71"/>
      <c r="G728" s="73"/>
      <c r="H728" s="73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67"/>
      <c r="B729" s="33"/>
      <c r="C729" s="67"/>
      <c r="D729" s="67"/>
      <c r="E729" s="67"/>
      <c r="F729" s="71"/>
      <c r="G729" s="73"/>
      <c r="H729" s="73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67"/>
      <c r="B730" s="33"/>
      <c r="C730" s="67"/>
      <c r="D730" s="67"/>
      <c r="E730" s="67"/>
      <c r="F730" s="71"/>
      <c r="G730" s="73"/>
      <c r="H730" s="73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67"/>
      <c r="B731" s="33"/>
      <c r="C731" s="67"/>
      <c r="D731" s="67"/>
      <c r="E731" s="67"/>
      <c r="F731" s="71"/>
      <c r="G731" s="73"/>
      <c r="H731" s="73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67"/>
      <c r="B732" s="33"/>
      <c r="C732" s="67"/>
      <c r="D732" s="67"/>
      <c r="E732" s="67"/>
      <c r="F732" s="71"/>
      <c r="G732" s="73"/>
      <c r="H732" s="73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67"/>
      <c r="B733" s="33"/>
      <c r="C733" s="67"/>
      <c r="D733" s="67"/>
      <c r="E733" s="67"/>
      <c r="F733" s="71"/>
      <c r="G733" s="73"/>
      <c r="H733" s="73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67"/>
      <c r="B734" s="33"/>
      <c r="C734" s="67"/>
      <c r="D734" s="67"/>
      <c r="E734" s="67"/>
      <c r="F734" s="71"/>
      <c r="G734" s="73"/>
      <c r="H734" s="73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67"/>
      <c r="B735" s="33"/>
      <c r="C735" s="67"/>
      <c r="D735" s="67"/>
      <c r="E735" s="67"/>
      <c r="F735" s="71"/>
      <c r="G735" s="73"/>
      <c r="H735" s="73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67"/>
      <c r="B736" s="33"/>
      <c r="C736" s="67"/>
      <c r="D736" s="67"/>
      <c r="E736" s="67"/>
      <c r="F736" s="71"/>
      <c r="G736" s="73"/>
      <c r="H736" s="73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67"/>
      <c r="B737" s="33"/>
      <c r="C737" s="67"/>
      <c r="D737" s="67"/>
      <c r="E737" s="67"/>
      <c r="F737" s="71"/>
      <c r="G737" s="73"/>
      <c r="H737" s="73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67"/>
      <c r="B738" s="33"/>
      <c r="C738" s="67"/>
      <c r="D738" s="67"/>
      <c r="E738" s="67"/>
      <c r="F738" s="71"/>
      <c r="G738" s="73"/>
      <c r="H738" s="73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67"/>
      <c r="B739" s="33"/>
      <c r="C739" s="67"/>
      <c r="D739" s="67"/>
      <c r="E739" s="67"/>
      <c r="F739" s="71"/>
      <c r="G739" s="73"/>
      <c r="H739" s="73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67"/>
      <c r="B740" s="33"/>
      <c r="C740" s="67"/>
      <c r="D740" s="67"/>
      <c r="E740" s="67"/>
      <c r="F740" s="71"/>
      <c r="G740" s="73"/>
      <c r="H740" s="73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67"/>
      <c r="B741" s="33"/>
      <c r="C741" s="67"/>
      <c r="D741" s="67"/>
      <c r="E741" s="67"/>
      <c r="F741" s="71"/>
      <c r="G741" s="73"/>
      <c r="H741" s="73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67"/>
      <c r="B742" s="33"/>
      <c r="C742" s="67"/>
      <c r="D742" s="67"/>
      <c r="E742" s="67"/>
      <c r="F742" s="71"/>
      <c r="G742" s="73"/>
      <c r="H742" s="73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67"/>
      <c r="B743" s="33"/>
      <c r="C743" s="67"/>
      <c r="D743" s="67"/>
      <c r="E743" s="67"/>
      <c r="F743" s="71"/>
      <c r="G743" s="73"/>
      <c r="H743" s="73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67"/>
      <c r="B744" s="33"/>
      <c r="C744" s="67"/>
      <c r="D744" s="67"/>
      <c r="E744" s="67"/>
      <c r="F744" s="71"/>
      <c r="G744" s="73"/>
      <c r="H744" s="73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67"/>
      <c r="B745" s="33"/>
      <c r="C745" s="67"/>
      <c r="D745" s="67"/>
      <c r="E745" s="67"/>
      <c r="F745" s="71"/>
      <c r="G745" s="73"/>
      <c r="H745" s="73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67"/>
      <c r="B746" s="33"/>
      <c r="C746" s="67"/>
      <c r="D746" s="67"/>
      <c r="E746" s="67"/>
      <c r="F746" s="71"/>
      <c r="G746" s="73"/>
      <c r="H746" s="73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67"/>
      <c r="B747" s="33"/>
      <c r="C747" s="67"/>
      <c r="D747" s="67"/>
      <c r="E747" s="67"/>
      <c r="F747" s="71"/>
      <c r="G747" s="73"/>
      <c r="H747" s="73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67"/>
      <c r="B748" s="33"/>
      <c r="C748" s="67"/>
      <c r="D748" s="67"/>
      <c r="E748" s="67"/>
      <c r="F748" s="71"/>
      <c r="G748" s="73"/>
      <c r="H748" s="73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67"/>
      <c r="B749" s="33"/>
      <c r="C749" s="67"/>
      <c r="D749" s="67"/>
      <c r="E749" s="67"/>
      <c r="F749" s="71"/>
      <c r="G749" s="73"/>
      <c r="H749" s="73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67"/>
      <c r="B750" s="33"/>
      <c r="C750" s="67"/>
      <c r="D750" s="67"/>
      <c r="E750" s="67"/>
      <c r="F750" s="71"/>
      <c r="G750" s="73"/>
      <c r="H750" s="73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67"/>
      <c r="B751" s="33"/>
      <c r="C751" s="67"/>
      <c r="D751" s="67"/>
      <c r="E751" s="67"/>
      <c r="F751" s="71"/>
      <c r="G751" s="73"/>
      <c r="H751" s="73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67"/>
      <c r="B752" s="33"/>
      <c r="C752" s="67"/>
      <c r="D752" s="67"/>
      <c r="E752" s="67"/>
      <c r="F752" s="71"/>
      <c r="G752" s="73"/>
      <c r="H752" s="73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67"/>
      <c r="B753" s="33"/>
      <c r="C753" s="67"/>
      <c r="D753" s="67"/>
      <c r="E753" s="67"/>
      <c r="F753" s="71"/>
      <c r="G753" s="73"/>
      <c r="H753" s="73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67"/>
      <c r="B754" s="33"/>
      <c r="C754" s="67"/>
      <c r="D754" s="67"/>
      <c r="E754" s="67"/>
      <c r="F754" s="71"/>
      <c r="G754" s="73"/>
      <c r="H754" s="73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67"/>
      <c r="B755" s="33"/>
      <c r="C755" s="67"/>
      <c r="D755" s="67"/>
      <c r="E755" s="67"/>
      <c r="F755" s="71"/>
      <c r="G755" s="73"/>
      <c r="H755" s="73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67"/>
      <c r="B756" s="33"/>
      <c r="C756" s="67"/>
      <c r="D756" s="67"/>
      <c r="E756" s="67"/>
      <c r="F756" s="71"/>
      <c r="G756" s="73"/>
      <c r="H756" s="73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67"/>
      <c r="B757" s="33"/>
      <c r="C757" s="67"/>
      <c r="D757" s="67"/>
      <c r="E757" s="67"/>
      <c r="F757" s="71"/>
      <c r="G757" s="73"/>
      <c r="H757" s="73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67"/>
      <c r="B758" s="33"/>
      <c r="C758" s="67"/>
      <c r="D758" s="67"/>
      <c r="E758" s="67"/>
      <c r="F758" s="71"/>
      <c r="G758" s="73"/>
      <c r="H758" s="73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67"/>
      <c r="B759" s="33"/>
      <c r="C759" s="67"/>
      <c r="D759" s="67"/>
      <c r="E759" s="67"/>
      <c r="F759" s="71"/>
      <c r="G759" s="73"/>
      <c r="H759" s="73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67"/>
      <c r="B760" s="33"/>
      <c r="C760" s="67"/>
      <c r="D760" s="67"/>
      <c r="E760" s="67"/>
      <c r="F760" s="71"/>
      <c r="G760" s="73"/>
      <c r="H760" s="73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67"/>
      <c r="B761" s="33"/>
      <c r="C761" s="67"/>
      <c r="D761" s="67"/>
      <c r="E761" s="67"/>
      <c r="F761" s="71"/>
      <c r="G761" s="73"/>
      <c r="H761" s="73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67"/>
      <c r="B762" s="33"/>
      <c r="C762" s="67"/>
      <c r="D762" s="67"/>
      <c r="E762" s="67"/>
      <c r="F762" s="71"/>
      <c r="G762" s="73"/>
      <c r="H762" s="73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67"/>
      <c r="B763" s="33"/>
      <c r="C763" s="67"/>
      <c r="D763" s="67"/>
      <c r="E763" s="67"/>
      <c r="F763" s="71"/>
      <c r="G763" s="73"/>
      <c r="H763" s="73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67"/>
      <c r="B764" s="33"/>
      <c r="C764" s="67"/>
      <c r="D764" s="67"/>
      <c r="E764" s="67"/>
      <c r="F764" s="71"/>
      <c r="G764" s="73"/>
      <c r="H764" s="73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67"/>
      <c r="B765" s="33"/>
      <c r="C765" s="67"/>
      <c r="D765" s="67"/>
      <c r="E765" s="67"/>
      <c r="F765" s="71"/>
      <c r="G765" s="73"/>
      <c r="H765" s="73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67"/>
      <c r="B766" s="33"/>
      <c r="C766" s="67"/>
      <c r="D766" s="67"/>
      <c r="E766" s="67"/>
      <c r="F766" s="71"/>
      <c r="G766" s="73"/>
      <c r="H766" s="73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67"/>
      <c r="B767" s="33"/>
      <c r="C767" s="67"/>
      <c r="D767" s="67"/>
      <c r="E767" s="67"/>
      <c r="F767" s="71"/>
      <c r="G767" s="73"/>
      <c r="H767" s="73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67"/>
      <c r="B768" s="33"/>
      <c r="C768" s="67"/>
      <c r="D768" s="67"/>
      <c r="E768" s="67"/>
      <c r="F768" s="71"/>
      <c r="G768" s="73"/>
      <c r="H768" s="73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67"/>
      <c r="B769" s="33"/>
      <c r="C769" s="67"/>
      <c r="D769" s="67"/>
      <c r="E769" s="67"/>
      <c r="F769" s="71"/>
      <c r="G769" s="73"/>
      <c r="H769" s="73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67"/>
      <c r="B770" s="33"/>
      <c r="C770" s="67"/>
      <c r="D770" s="67"/>
      <c r="E770" s="67"/>
      <c r="F770" s="71"/>
      <c r="G770" s="73"/>
      <c r="H770" s="73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67"/>
      <c r="B771" s="33"/>
      <c r="C771" s="67"/>
      <c r="D771" s="67"/>
      <c r="E771" s="67"/>
      <c r="F771" s="71"/>
      <c r="G771" s="73"/>
      <c r="H771" s="73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67"/>
      <c r="B772" s="33"/>
      <c r="C772" s="67"/>
      <c r="D772" s="67"/>
      <c r="E772" s="67"/>
      <c r="F772" s="71"/>
      <c r="G772" s="73"/>
      <c r="H772" s="73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67"/>
      <c r="B773" s="33"/>
      <c r="C773" s="67"/>
      <c r="D773" s="67"/>
      <c r="E773" s="67"/>
      <c r="F773" s="71"/>
      <c r="G773" s="73"/>
      <c r="H773" s="73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67"/>
      <c r="B774" s="33"/>
      <c r="C774" s="67"/>
      <c r="D774" s="67"/>
      <c r="E774" s="67"/>
      <c r="F774" s="71"/>
      <c r="G774" s="73"/>
      <c r="H774" s="73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67"/>
      <c r="B775" s="33"/>
      <c r="C775" s="67"/>
      <c r="D775" s="67"/>
      <c r="E775" s="67"/>
      <c r="F775" s="71"/>
      <c r="G775" s="73"/>
      <c r="H775" s="73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67"/>
      <c r="B776" s="33"/>
      <c r="C776" s="67"/>
      <c r="D776" s="67"/>
      <c r="E776" s="67"/>
      <c r="F776" s="71"/>
      <c r="G776" s="73"/>
      <c r="H776" s="73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67"/>
      <c r="B777" s="33"/>
      <c r="C777" s="67"/>
      <c r="D777" s="67"/>
      <c r="E777" s="67"/>
      <c r="F777" s="71"/>
      <c r="G777" s="73"/>
      <c r="H777" s="73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67"/>
      <c r="B778" s="33"/>
      <c r="C778" s="67"/>
      <c r="D778" s="67"/>
      <c r="E778" s="67"/>
      <c r="F778" s="71"/>
      <c r="G778" s="73"/>
      <c r="H778" s="73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67"/>
      <c r="B779" s="33"/>
      <c r="C779" s="67"/>
      <c r="D779" s="67"/>
      <c r="E779" s="67"/>
      <c r="F779" s="71"/>
      <c r="G779" s="73"/>
      <c r="H779" s="73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67"/>
      <c r="B780" s="33"/>
      <c r="C780" s="67"/>
      <c r="D780" s="67"/>
      <c r="E780" s="67"/>
      <c r="F780" s="71"/>
      <c r="G780" s="73"/>
      <c r="H780" s="73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67"/>
      <c r="B781" s="33"/>
      <c r="C781" s="67"/>
      <c r="D781" s="67"/>
      <c r="E781" s="67"/>
      <c r="F781" s="71"/>
      <c r="G781" s="73"/>
      <c r="H781" s="73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67"/>
      <c r="B782" s="33"/>
      <c r="C782" s="67"/>
      <c r="D782" s="67"/>
      <c r="E782" s="67"/>
      <c r="F782" s="71"/>
      <c r="G782" s="73"/>
      <c r="H782" s="73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67"/>
      <c r="B783" s="33"/>
      <c r="C783" s="67"/>
      <c r="D783" s="67"/>
      <c r="E783" s="67"/>
      <c r="F783" s="71"/>
      <c r="G783" s="73"/>
      <c r="H783" s="73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67"/>
      <c r="B784" s="33"/>
      <c r="C784" s="67"/>
      <c r="D784" s="67"/>
      <c r="E784" s="67"/>
      <c r="F784" s="71"/>
      <c r="G784" s="73"/>
      <c r="H784" s="73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67"/>
      <c r="B785" s="33"/>
      <c r="C785" s="67"/>
      <c r="D785" s="67"/>
      <c r="E785" s="67"/>
      <c r="F785" s="71"/>
      <c r="G785" s="73"/>
      <c r="H785" s="73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67"/>
      <c r="B786" s="33"/>
      <c r="C786" s="67"/>
      <c r="D786" s="67"/>
      <c r="E786" s="67"/>
      <c r="F786" s="71"/>
      <c r="G786" s="73"/>
      <c r="H786" s="73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67"/>
      <c r="B787" s="33"/>
      <c r="C787" s="67"/>
      <c r="D787" s="67"/>
      <c r="E787" s="67"/>
      <c r="F787" s="71"/>
      <c r="G787" s="73"/>
      <c r="H787" s="73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67"/>
      <c r="B788" s="33"/>
      <c r="C788" s="67"/>
      <c r="D788" s="67"/>
      <c r="E788" s="67"/>
      <c r="F788" s="71"/>
      <c r="G788" s="73"/>
      <c r="H788" s="73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67"/>
      <c r="B789" s="33"/>
      <c r="C789" s="67"/>
      <c r="D789" s="67"/>
      <c r="E789" s="67"/>
      <c r="F789" s="71"/>
      <c r="G789" s="73"/>
      <c r="H789" s="73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67"/>
      <c r="B790" s="33"/>
      <c r="C790" s="67"/>
      <c r="D790" s="67"/>
      <c r="E790" s="67"/>
      <c r="F790" s="71"/>
      <c r="G790" s="73"/>
      <c r="H790" s="73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67"/>
      <c r="B791" s="33"/>
      <c r="C791" s="67"/>
      <c r="D791" s="67"/>
      <c r="E791" s="67"/>
      <c r="F791" s="71"/>
      <c r="G791" s="73"/>
      <c r="H791" s="73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67"/>
      <c r="B792" s="33"/>
      <c r="C792" s="67"/>
      <c r="D792" s="67"/>
      <c r="E792" s="67"/>
      <c r="F792" s="71"/>
      <c r="G792" s="73"/>
      <c r="H792" s="73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67"/>
      <c r="B793" s="33"/>
      <c r="C793" s="67"/>
      <c r="D793" s="67"/>
      <c r="E793" s="67"/>
      <c r="F793" s="71"/>
      <c r="G793" s="73"/>
      <c r="H793" s="73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67"/>
      <c r="B794" s="33"/>
      <c r="C794" s="67"/>
      <c r="D794" s="67"/>
      <c r="E794" s="67"/>
      <c r="F794" s="71"/>
      <c r="G794" s="73"/>
      <c r="H794" s="73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67"/>
      <c r="B795" s="33"/>
      <c r="C795" s="67"/>
      <c r="D795" s="67"/>
      <c r="E795" s="67"/>
      <c r="F795" s="71"/>
      <c r="G795" s="73"/>
      <c r="H795" s="73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67"/>
      <c r="B796" s="33"/>
      <c r="C796" s="67"/>
      <c r="D796" s="67"/>
      <c r="E796" s="67"/>
      <c r="F796" s="71"/>
      <c r="G796" s="73"/>
      <c r="H796" s="73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67"/>
      <c r="B797" s="33"/>
      <c r="C797" s="67"/>
      <c r="D797" s="67"/>
      <c r="E797" s="67"/>
      <c r="F797" s="71"/>
      <c r="G797" s="73"/>
      <c r="H797" s="73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67"/>
      <c r="B798" s="33"/>
      <c r="C798" s="67"/>
      <c r="D798" s="67"/>
      <c r="E798" s="67"/>
      <c r="F798" s="71"/>
      <c r="G798" s="73"/>
      <c r="H798" s="73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67"/>
      <c r="B799" s="33"/>
      <c r="C799" s="67"/>
      <c r="D799" s="67"/>
      <c r="E799" s="67"/>
      <c r="F799" s="71"/>
      <c r="G799" s="73"/>
      <c r="H799" s="73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67"/>
      <c r="B800" s="33"/>
      <c r="C800" s="67"/>
      <c r="D800" s="67"/>
      <c r="E800" s="67"/>
      <c r="F800" s="71"/>
      <c r="G800" s="73"/>
      <c r="H800" s="73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67"/>
      <c r="B801" s="33"/>
      <c r="C801" s="67"/>
      <c r="D801" s="67"/>
      <c r="E801" s="67"/>
      <c r="F801" s="71"/>
      <c r="G801" s="73"/>
      <c r="H801" s="73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67"/>
      <c r="B802" s="33"/>
      <c r="C802" s="67"/>
      <c r="D802" s="67"/>
      <c r="E802" s="67"/>
      <c r="F802" s="71"/>
      <c r="G802" s="73"/>
      <c r="H802" s="73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67"/>
      <c r="B803" s="33"/>
      <c r="C803" s="67"/>
      <c r="D803" s="67"/>
      <c r="E803" s="67"/>
      <c r="F803" s="71"/>
      <c r="G803" s="73"/>
      <c r="H803" s="73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67"/>
      <c r="B804" s="33"/>
      <c r="C804" s="67"/>
      <c r="D804" s="67"/>
      <c r="E804" s="67"/>
      <c r="F804" s="71"/>
      <c r="G804" s="73"/>
      <c r="H804" s="73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67"/>
      <c r="B805" s="33"/>
      <c r="C805" s="67"/>
      <c r="D805" s="67"/>
      <c r="E805" s="67"/>
      <c r="F805" s="71"/>
      <c r="G805" s="73"/>
      <c r="H805" s="73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67"/>
      <c r="B806" s="33"/>
      <c r="C806" s="67"/>
      <c r="D806" s="67"/>
      <c r="E806" s="67"/>
      <c r="F806" s="71"/>
      <c r="G806" s="73"/>
      <c r="H806" s="73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67"/>
      <c r="B807" s="33"/>
      <c r="C807" s="67"/>
      <c r="D807" s="67"/>
      <c r="E807" s="67"/>
      <c r="F807" s="71"/>
      <c r="G807" s="73"/>
      <c r="H807" s="73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67"/>
      <c r="B808" s="33"/>
      <c r="C808" s="67"/>
      <c r="D808" s="67"/>
      <c r="E808" s="67"/>
      <c r="F808" s="71"/>
      <c r="G808" s="73"/>
      <c r="H808" s="73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67"/>
      <c r="B809" s="33"/>
      <c r="C809" s="67"/>
      <c r="D809" s="67"/>
      <c r="E809" s="67"/>
      <c r="F809" s="71"/>
      <c r="G809" s="73"/>
      <c r="H809" s="73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67"/>
      <c r="B810" s="33"/>
      <c r="C810" s="67"/>
      <c r="D810" s="67"/>
      <c r="E810" s="67"/>
      <c r="F810" s="71"/>
      <c r="G810" s="73"/>
      <c r="H810" s="73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67"/>
      <c r="B811" s="33"/>
      <c r="C811" s="67"/>
      <c r="D811" s="67"/>
      <c r="E811" s="67"/>
      <c r="F811" s="71"/>
      <c r="G811" s="73"/>
      <c r="H811" s="73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67"/>
      <c r="B812" s="33"/>
      <c r="C812" s="67"/>
      <c r="D812" s="67"/>
      <c r="E812" s="67"/>
      <c r="F812" s="71"/>
      <c r="G812" s="73"/>
      <c r="H812" s="73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67"/>
      <c r="B813" s="33"/>
      <c r="C813" s="67"/>
      <c r="D813" s="67"/>
      <c r="E813" s="67"/>
      <c r="F813" s="71"/>
      <c r="G813" s="73"/>
      <c r="H813" s="73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67"/>
      <c r="B814" s="33"/>
      <c r="C814" s="67"/>
      <c r="D814" s="67"/>
      <c r="E814" s="67"/>
      <c r="F814" s="71"/>
      <c r="G814" s="73"/>
      <c r="H814" s="73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67"/>
      <c r="B815" s="33"/>
      <c r="C815" s="67"/>
      <c r="D815" s="67"/>
      <c r="E815" s="67"/>
      <c r="F815" s="71"/>
      <c r="G815" s="73"/>
      <c r="H815" s="73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67"/>
      <c r="B816" s="33"/>
      <c r="C816" s="67"/>
      <c r="D816" s="67"/>
      <c r="E816" s="67"/>
      <c r="F816" s="71"/>
      <c r="G816" s="73"/>
      <c r="H816" s="73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67"/>
      <c r="B817" s="33"/>
      <c r="C817" s="67"/>
      <c r="D817" s="67"/>
      <c r="E817" s="67"/>
      <c r="F817" s="71"/>
      <c r="G817" s="73"/>
      <c r="H817" s="73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67"/>
      <c r="B818" s="33"/>
      <c r="C818" s="67"/>
      <c r="D818" s="67"/>
      <c r="E818" s="67"/>
      <c r="F818" s="71"/>
      <c r="G818" s="73"/>
      <c r="H818" s="73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67"/>
      <c r="B819" s="33"/>
      <c r="C819" s="67"/>
      <c r="D819" s="67"/>
      <c r="E819" s="67"/>
      <c r="F819" s="71"/>
      <c r="G819" s="73"/>
      <c r="H819" s="73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67"/>
      <c r="B820" s="33"/>
      <c r="C820" s="67"/>
      <c r="D820" s="67"/>
      <c r="E820" s="67"/>
      <c r="F820" s="71"/>
      <c r="G820" s="73"/>
      <c r="H820" s="73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67"/>
      <c r="B821" s="33"/>
      <c r="C821" s="67"/>
      <c r="D821" s="67"/>
      <c r="E821" s="67"/>
      <c r="F821" s="71"/>
      <c r="G821" s="73"/>
      <c r="H821" s="73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67"/>
      <c r="B822" s="33"/>
      <c r="C822" s="67"/>
      <c r="D822" s="67"/>
      <c r="E822" s="67"/>
      <c r="F822" s="71"/>
      <c r="G822" s="73"/>
      <c r="H822" s="73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67"/>
      <c r="B823" s="33"/>
      <c r="C823" s="67"/>
      <c r="D823" s="67"/>
      <c r="E823" s="67"/>
      <c r="F823" s="71"/>
      <c r="G823" s="73"/>
      <c r="H823" s="73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67"/>
      <c r="B824" s="33"/>
      <c r="C824" s="67"/>
      <c r="D824" s="67"/>
      <c r="E824" s="67"/>
      <c r="F824" s="71"/>
      <c r="G824" s="73"/>
      <c r="H824" s="73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67"/>
      <c r="B825" s="33"/>
      <c r="C825" s="67"/>
      <c r="D825" s="67"/>
      <c r="E825" s="67"/>
      <c r="F825" s="71"/>
      <c r="G825" s="73"/>
      <c r="H825" s="73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67"/>
      <c r="B826" s="33"/>
      <c r="C826" s="67"/>
      <c r="D826" s="67"/>
      <c r="E826" s="67"/>
      <c r="F826" s="71"/>
      <c r="G826" s="73"/>
      <c r="H826" s="73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67"/>
      <c r="B827" s="33"/>
      <c r="C827" s="67"/>
      <c r="D827" s="67"/>
      <c r="E827" s="67"/>
      <c r="F827" s="71"/>
      <c r="G827" s="73"/>
      <c r="H827" s="73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67"/>
      <c r="B828" s="33"/>
      <c r="C828" s="67"/>
      <c r="D828" s="67"/>
      <c r="E828" s="67"/>
      <c r="F828" s="71"/>
      <c r="G828" s="73"/>
      <c r="H828" s="73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67"/>
      <c r="B829" s="33"/>
      <c r="C829" s="67"/>
      <c r="D829" s="67"/>
      <c r="E829" s="67"/>
      <c r="F829" s="71"/>
      <c r="G829" s="73"/>
      <c r="H829" s="73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67"/>
      <c r="B830" s="33"/>
      <c r="C830" s="67"/>
      <c r="D830" s="67"/>
      <c r="E830" s="67"/>
      <c r="F830" s="71"/>
      <c r="G830" s="73"/>
      <c r="H830" s="73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67"/>
      <c r="B831" s="33"/>
      <c r="C831" s="67"/>
      <c r="D831" s="67"/>
      <c r="E831" s="67"/>
      <c r="F831" s="71"/>
      <c r="G831" s="73"/>
      <c r="H831" s="73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67"/>
      <c r="B832" s="33"/>
      <c r="C832" s="67"/>
      <c r="D832" s="67"/>
      <c r="E832" s="67"/>
      <c r="F832" s="71"/>
      <c r="G832" s="73"/>
      <c r="H832" s="73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67"/>
      <c r="B833" s="33"/>
      <c r="C833" s="67"/>
      <c r="D833" s="67"/>
      <c r="E833" s="67"/>
      <c r="F833" s="71"/>
      <c r="G833" s="73"/>
      <c r="H833" s="73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67"/>
      <c r="B834" s="33"/>
      <c r="C834" s="67"/>
      <c r="D834" s="67"/>
      <c r="E834" s="67"/>
      <c r="F834" s="71"/>
      <c r="G834" s="73"/>
      <c r="H834" s="73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67"/>
      <c r="B835" s="33"/>
      <c r="C835" s="67"/>
      <c r="D835" s="67"/>
      <c r="E835" s="67"/>
      <c r="F835" s="71"/>
      <c r="G835" s="73"/>
      <c r="H835" s="73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67"/>
      <c r="B836" s="33"/>
      <c r="C836" s="67"/>
      <c r="D836" s="67"/>
      <c r="E836" s="67"/>
      <c r="F836" s="71"/>
      <c r="G836" s="73"/>
      <c r="H836" s="73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67"/>
      <c r="B837" s="33"/>
      <c r="C837" s="67"/>
      <c r="D837" s="67"/>
      <c r="E837" s="67"/>
      <c r="F837" s="71"/>
      <c r="G837" s="73"/>
      <c r="H837" s="73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67"/>
      <c r="B838" s="33"/>
      <c r="C838" s="67"/>
      <c r="D838" s="67"/>
      <c r="E838" s="67"/>
      <c r="F838" s="71"/>
      <c r="G838" s="73"/>
      <c r="H838" s="73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67"/>
      <c r="B839" s="33"/>
      <c r="C839" s="67"/>
      <c r="D839" s="67"/>
      <c r="E839" s="67"/>
      <c r="F839" s="71"/>
      <c r="G839" s="73"/>
      <c r="H839" s="73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67"/>
      <c r="B840" s="33"/>
      <c r="C840" s="67"/>
      <c r="D840" s="67"/>
      <c r="E840" s="67"/>
      <c r="F840" s="71"/>
      <c r="G840" s="73"/>
      <c r="H840" s="73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67"/>
      <c r="B841" s="33"/>
      <c r="C841" s="67"/>
      <c r="D841" s="67"/>
      <c r="E841" s="67"/>
      <c r="F841" s="71"/>
      <c r="G841" s="73"/>
      <c r="H841" s="73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67"/>
      <c r="B842" s="33"/>
      <c r="C842" s="67"/>
      <c r="D842" s="67"/>
      <c r="E842" s="67"/>
      <c r="F842" s="71"/>
      <c r="G842" s="73"/>
      <c r="H842" s="73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67"/>
      <c r="B843" s="33"/>
      <c r="C843" s="67"/>
      <c r="D843" s="67"/>
      <c r="E843" s="67"/>
      <c r="F843" s="71"/>
      <c r="G843" s="73"/>
      <c r="H843" s="73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67"/>
      <c r="B844" s="33"/>
      <c r="C844" s="67"/>
      <c r="D844" s="67"/>
      <c r="E844" s="67"/>
      <c r="F844" s="71"/>
      <c r="G844" s="73"/>
      <c r="H844" s="73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67"/>
      <c r="B845" s="33"/>
      <c r="C845" s="67"/>
      <c r="D845" s="67"/>
      <c r="E845" s="67"/>
      <c r="F845" s="71"/>
      <c r="G845" s="73"/>
      <c r="H845" s="73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67"/>
      <c r="B846" s="33"/>
      <c r="C846" s="67"/>
      <c r="D846" s="67"/>
      <c r="E846" s="67"/>
      <c r="F846" s="71"/>
      <c r="G846" s="73"/>
      <c r="H846" s="73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67"/>
      <c r="B847" s="33"/>
      <c r="C847" s="67"/>
      <c r="D847" s="67"/>
      <c r="E847" s="67"/>
      <c r="F847" s="71"/>
      <c r="G847" s="73"/>
      <c r="H847" s="73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67"/>
      <c r="B848" s="33"/>
      <c r="C848" s="67"/>
      <c r="D848" s="67"/>
      <c r="E848" s="67"/>
      <c r="F848" s="71"/>
      <c r="G848" s="73"/>
      <c r="H848" s="73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67"/>
      <c r="B849" s="33"/>
      <c r="C849" s="67"/>
      <c r="D849" s="67"/>
      <c r="E849" s="67"/>
      <c r="F849" s="71"/>
      <c r="G849" s="73"/>
      <c r="H849" s="73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67"/>
      <c r="B850" s="33"/>
      <c r="C850" s="67"/>
      <c r="D850" s="67"/>
      <c r="E850" s="67"/>
      <c r="F850" s="71"/>
      <c r="G850" s="73"/>
      <c r="H850" s="73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67"/>
      <c r="B851" s="33"/>
      <c r="C851" s="67"/>
      <c r="D851" s="67"/>
      <c r="E851" s="67"/>
      <c r="F851" s="71"/>
      <c r="G851" s="73"/>
      <c r="H851" s="73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67"/>
      <c r="B852" s="33"/>
      <c r="C852" s="67"/>
      <c r="D852" s="67"/>
      <c r="E852" s="67"/>
      <c r="F852" s="71"/>
      <c r="G852" s="73"/>
      <c r="H852" s="73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67"/>
      <c r="B853" s="33"/>
      <c r="C853" s="67"/>
      <c r="D853" s="67"/>
      <c r="E853" s="67"/>
      <c r="F853" s="71"/>
      <c r="G853" s="73"/>
      <c r="H853" s="73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67"/>
      <c r="B854" s="33"/>
      <c r="C854" s="67"/>
      <c r="D854" s="67"/>
      <c r="E854" s="67"/>
      <c r="F854" s="71"/>
      <c r="G854" s="73"/>
      <c r="H854" s="73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67"/>
      <c r="B855" s="33"/>
      <c r="C855" s="67"/>
      <c r="D855" s="67"/>
      <c r="E855" s="67"/>
      <c r="F855" s="71"/>
      <c r="G855" s="73"/>
      <c r="H855" s="73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67"/>
      <c r="B856" s="33"/>
      <c r="C856" s="67"/>
      <c r="D856" s="67"/>
      <c r="E856" s="67"/>
      <c r="F856" s="71"/>
      <c r="G856" s="73"/>
      <c r="H856" s="73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67"/>
      <c r="B857" s="33"/>
      <c r="C857" s="67"/>
      <c r="D857" s="67"/>
      <c r="E857" s="67"/>
      <c r="F857" s="71"/>
      <c r="G857" s="73"/>
      <c r="H857" s="73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67"/>
      <c r="B858" s="33"/>
      <c r="C858" s="67"/>
      <c r="D858" s="67"/>
      <c r="E858" s="67"/>
      <c r="F858" s="71"/>
      <c r="G858" s="73"/>
      <c r="H858" s="73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67"/>
      <c r="B859" s="33"/>
      <c r="C859" s="67"/>
      <c r="D859" s="67"/>
      <c r="E859" s="67"/>
      <c r="F859" s="71"/>
      <c r="G859" s="73"/>
      <c r="H859" s="73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67"/>
      <c r="B860" s="33"/>
      <c r="C860" s="67"/>
      <c r="D860" s="67"/>
      <c r="E860" s="67"/>
      <c r="F860" s="71"/>
      <c r="G860" s="73"/>
      <c r="H860" s="73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67"/>
      <c r="B861" s="33"/>
      <c r="C861" s="67"/>
      <c r="D861" s="67"/>
      <c r="E861" s="67"/>
      <c r="F861" s="71"/>
      <c r="G861" s="73"/>
      <c r="H861" s="73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67"/>
      <c r="B862" s="33"/>
      <c r="C862" s="67"/>
      <c r="D862" s="67"/>
      <c r="E862" s="67"/>
      <c r="F862" s="71"/>
      <c r="G862" s="73"/>
      <c r="H862" s="73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67"/>
      <c r="B863" s="33"/>
      <c r="C863" s="67"/>
      <c r="D863" s="67"/>
      <c r="E863" s="67"/>
      <c r="F863" s="71"/>
      <c r="G863" s="73"/>
      <c r="H863" s="73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67"/>
      <c r="B864" s="33"/>
      <c r="C864" s="67"/>
      <c r="D864" s="67"/>
      <c r="E864" s="67"/>
      <c r="F864" s="71"/>
      <c r="G864" s="73"/>
      <c r="H864" s="73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67"/>
      <c r="B865" s="33"/>
      <c r="C865" s="67"/>
      <c r="D865" s="67"/>
      <c r="E865" s="67"/>
      <c r="F865" s="71"/>
      <c r="G865" s="73"/>
      <c r="H865" s="73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67"/>
      <c r="B866" s="33"/>
      <c r="C866" s="67"/>
      <c r="D866" s="67"/>
      <c r="E866" s="67"/>
      <c r="F866" s="71"/>
      <c r="G866" s="73"/>
      <c r="H866" s="73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67"/>
      <c r="B867" s="33"/>
      <c r="C867" s="67"/>
      <c r="D867" s="67"/>
      <c r="E867" s="67"/>
      <c r="F867" s="71"/>
      <c r="G867" s="73"/>
      <c r="H867" s="73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67"/>
      <c r="B868" s="33"/>
      <c r="C868" s="67"/>
      <c r="D868" s="67"/>
      <c r="E868" s="67"/>
      <c r="F868" s="71"/>
      <c r="G868" s="73"/>
      <c r="H868" s="73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67"/>
      <c r="B869" s="33"/>
      <c r="C869" s="67"/>
      <c r="D869" s="67"/>
      <c r="E869" s="67"/>
      <c r="F869" s="71"/>
      <c r="G869" s="73"/>
      <c r="H869" s="73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67"/>
      <c r="B870" s="33"/>
      <c r="C870" s="67"/>
      <c r="D870" s="67"/>
      <c r="E870" s="67"/>
      <c r="F870" s="71"/>
      <c r="G870" s="73"/>
      <c r="H870" s="73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67"/>
      <c r="B871" s="33"/>
      <c r="C871" s="67"/>
      <c r="D871" s="67"/>
      <c r="E871" s="67"/>
      <c r="F871" s="71"/>
      <c r="G871" s="73"/>
      <c r="H871" s="73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67"/>
      <c r="B872" s="33"/>
      <c r="C872" s="67"/>
      <c r="D872" s="67"/>
      <c r="E872" s="67"/>
      <c r="F872" s="71"/>
      <c r="G872" s="73"/>
      <c r="H872" s="73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67"/>
      <c r="B873" s="33"/>
      <c r="C873" s="67"/>
      <c r="D873" s="67"/>
      <c r="E873" s="67"/>
      <c r="F873" s="71"/>
      <c r="G873" s="73"/>
      <c r="H873" s="73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67"/>
      <c r="B874" s="33"/>
      <c r="C874" s="67"/>
      <c r="D874" s="67"/>
      <c r="E874" s="67"/>
      <c r="F874" s="71"/>
      <c r="G874" s="73"/>
      <c r="H874" s="73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67"/>
      <c r="B875" s="33"/>
      <c r="C875" s="67"/>
      <c r="D875" s="67"/>
      <c r="E875" s="67"/>
      <c r="F875" s="71"/>
      <c r="G875" s="73"/>
      <c r="H875" s="73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67"/>
      <c r="B876" s="33"/>
      <c r="C876" s="67"/>
      <c r="D876" s="67"/>
      <c r="E876" s="67"/>
      <c r="F876" s="71"/>
      <c r="G876" s="73"/>
      <c r="H876" s="73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67"/>
      <c r="B877" s="33"/>
      <c r="C877" s="67"/>
      <c r="D877" s="67"/>
      <c r="E877" s="67"/>
      <c r="F877" s="71"/>
      <c r="G877" s="73"/>
      <c r="H877" s="73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67"/>
      <c r="B878" s="33"/>
      <c r="C878" s="67"/>
      <c r="D878" s="67"/>
      <c r="E878" s="67"/>
      <c r="F878" s="71"/>
      <c r="G878" s="73"/>
      <c r="H878" s="73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67"/>
      <c r="B879" s="33"/>
      <c r="C879" s="67"/>
      <c r="D879" s="67"/>
      <c r="E879" s="67"/>
      <c r="F879" s="71"/>
      <c r="G879" s="73"/>
      <c r="H879" s="73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67"/>
      <c r="B880" s="33"/>
      <c r="C880" s="67"/>
      <c r="D880" s="67"/>
      <c r="E880" s="67"/>
      <c r="F880" s="71"/>
      <c r="G880" s="73"/>
      <c r="H880" s="73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67"/>
      <c r="B881" s="33"/>
      <c r="C881" s="67"/>
      <c r="D881" s="67"/>
      <c r="E881" s="67"/>
      <c r="F881" s="71"/>
      <c r="G881" s="73"/>
      <c r="H881" s="73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67"/>
      <c r="B882" s="33"/>
      <c r="C882" s="67"/>
      <c r="D882" s="67"/>
      <c r="E882" s="67"/>
      <c r="F882" s="71"/>
      <c r="G882" s="73"/>
      <c r="H882" s="73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67"/>
      <c r="B883" s="33"/>
      <c r="C883" s="67"/>
      <c r="D883" s="67"/>
      <c r="E883" s="67"/>
      <c r="F883" s="71"/>
      <c r="G883" s="73"/>
      <c r="H883" s="73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67"/>
      <c r="B884" s="33"/>
      <c r="C884" s="67"/>
      <c r="D884" s="67"/>
      <c r="E884" s="67"/>
      <c r="F884" s="71"/>
      <c r="G884" s="73"/>
      <c r="H884" s="73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67"/>
      <c r="B885" s="33"/>
      <c r="C885" s="67"/>
      <c r="D885" s="67"/>
      <c r="E885" s="67"/>
      <c r="F885" s="71"/>
      <c r="G885" s="73"/>
      <c r="H885" s="73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67"/>
      <c r="B886" s="33"/>
      <c r="C886" s="67"/>
      <c r="D886" s="67"/>
      <c r="E886" s="67"/>
      <c r="F886" s="71"/>
      <c r="G886" s="73"/>
      <c r="H886" s="73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67"/>
      <c r="B887" s="33"/>
      <c r="C887" s="67"/>
      <c r="D887" s="67"/>
      <c r="E887" s="67"/>
      <c r="F887" s="71"/>
      <c r="G887" s="73"/>
      <c r="H887" s="73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67"/>
      <c r="B888" s="33"/>
      <c r="C888" s="67"/>
      <c r="D888" s="67"/>
      <c r="E888" s="67"/>
      <c r="F888" s="71"/>
      <c r="G888" s="73"/>
      <c r="H888" s="73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67"/>
      <c r="B889" s="33"/>
      <c r="C889" s="67"/>
      <c r="D889" s="67"/>
      <c r="E889" s="67"/>
      <c r="F889" s="71"/>
      <c r="G889" s="73"/>
      <c r="H889" s="73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67"/>
      <c r="B890" s="33"/>
      <c r="C890" s="67"/>
      <c r="D890" s="67"/>
      <c r="E890" s="67"/>
      <c r="F890" s="71"/>
      <c r="G890" s="73"/>
      <c r="H890" s="73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67"/>
      <c r="B891" s="33"/>
      <c r="C891" s="67"/>
      <c r="D891" s="67"/>
      <c r="E891" s="67"/>
      <c r="F891" s="71"/>
      <c r="G891" s="73"/>
      <c r="H891" s="73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67"/>
      <c r="B892" s="33"/>
      <c r="C892" s="67"/>
      <c r="D892" s="67"/>
      <c r="E892" s="67"/>
      <c r="F892" s="71"/>
      <c r="G892" s="73"/>
      <c r="H892" s="73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67"/>
      <c r="B893" s="33"/>
      <c r="C893" s="67"/>
      <c r="D893" s="67"/>
      <c r="E893" s="67"/>
      <c r="F893" s="71"/>
      <c r="G893" s="73"/>
      <c r="H893" s="73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67"/>
      <c r="B894" s="33"/>
      <c r="C894" s="67"/>
      <c r="D894" s="67"/>
      <c r="E894" s="67"/>
      <c r="F894" s="71"/>
      <c r="G894" s="73"/>
      <c r="H894" s="73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67"/>
      <c r="B895" s="33"/>
      <c r="C895" s="67"/>
      <c r="D895" s="67"/>
      <c r="E895" s="67"/>
      <c r="F895" s="71"/>
      <c r="G895" s="73"/>
      <c r="H895" s="73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67"/>
      <c r="B896" s="33"/>
      <c r="C896" s="67"/>
      <c r="D896" s="67"/>
      <c r="E896" s="67"/>
      <c r="F896" s="71"/>
      <c r="G896" s="73"/>
      <c r="H896" s="73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67"/>
      <c r="B897" s="33"/>
      <c r="C897" s="67"/>
      <c r="D897" s="67"/>
      <c r="E897" s="67"/>
      <c r="F897" s="71"/>
      <c r="G897" s="73"/>
      <c r="H897" s="73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67"/>
      <c r="B898" s="33"/>
      <c r="C898" s="67"/>
      <c r="D898" s="67"/>
      <c r="E898" s="67"/>
      <c r="F898" s="71"/>
      <c r="G898" s="73"/>
      <c r="H898" s="73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67"/>
      <c r="B899" s="33"/>
      <c r="C899" s="67"/>
      <c r="D899" s="67"/>
      <c r="E899" s="67"/>
      <c r="F899" s="71"/>
      <c r="G899" s="73"/>
      <c r="H899" s="73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67"/>
      <c r="B900" s="33"/>
      <c r="C900" s="67"/>
      <c r="D900" s="67"/>
      <c r="E900" s="67"/>
      <c r="F900" s="71"/>
      <c r="G900" s="73"/>
      <c r="H900" s="73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67"/>
      <c r="B901" s="33"/>
      <c r="C901" s="67"/>
      <c r="D901" s="67"/>
      <c r="E901" s="67"/>
      <c r="F901" s="71"/>
      <c r="G901" s="73"/>
      <c r="H901" s="73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67"/>
      <c r="B902" s="33"/>
      <c r="C902" s="67"/>
      <c r="D902" s="67"/>
      <c r="E902" s="67"/>
      <c r="F902" s="71"/>
      <c r="G902" s="73"/>
      <c r="H902" s="73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67"/>
      <c r="B903" s="33"/>
      <c r="C903" s="67"/>
      <c r="D903" s="67"/>
      <c r="E903" s="67"/>
      <c r="F903" s="71"/>
      <c r="G903" s="73"/>
      <c r="H903" s="73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67"/>
      <c r="B904" s="33"/>
      <c r="C904" s="67"/>
      <c r="D904" s="67"/>
      <c r="E904" s="67"/>
      <c r="F904" s="71"/>
      <c r="G904" s="73"/>
      <c r="H904" s="73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67"/>
      <c r="B905" s="33"/>
      <c r="C905" s="67"/>
      <c r="D905" s="67"/>
      <c r="E905" s="67"/>
      <c r="F905" s="71"/>
      <c r="G905" s="73"/>
      <c r="H905" s="73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67"/>
      <c r="B906" s="33"/>
      <c r="C906" s="67"/>
      <c r="D906" s="67"/>
      <c r="E906" s="67"/>
      <c r="F906" s="71"/>
      <c r="G906" s="73"/>
      <c r="H906" s="73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67"/>
      <c r="B907" s="33"/>
      <c r="C907" s="67"/>
      <c r="D907" s="67"/>
      <c r="E907" s="67"/>
      <c r="F907" s="71"/>
      <c r="G907" s="73"/>
      <c r="H907" s="73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67"/>
      <c r="B908" s="33"/>
      <c r="C908" s="67"/>
      <c r="D908" s="67"/>
      <c r="E908" s="67"/>
      <c r="F908" s="71"/>
      <c r="G908" s="73"/>
      <c r="H908" s="73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67"/>
      <c r="B909" s="33"/>
      <c r="C909" s="67"/>
      <c r="D909" s="67"/>
      <c r="E909" s="67"/>
      <c r="F909" s="71"/>
      <c r="G909" s="73"/>
      <c r="H909" s="73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67"/>
      <c r="B910" s="33"/>
      <c r="C910" s="67"/>
      <c r="D910" s="67"/>
      <c r="E910" s="67"/>
      <c r="F910" s="71"/>
      <c r="G910" s="73"/>
      <c r="H910" s="73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67"/>
      <c r="B911" s="33"/>
      <c r="C911" s="67"/>
      <c r="D911" s="67"/>
      <c r="E911" s="67"/>
      <c r="F911" s="71"/>
      <c r="G911" s="73"/>
      <c r="H911" s="73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67"/>
      <c r="B912" s="33"/>
      <c r="C912" s="67"/>
      <c r="D912" s="67"/>
      <c r="E912" s="67"/>
      <c r="F912" s="71"/>
      <c r="G912" s="73"/>
      <c r="H912" s="73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67"/>
      <c r="B913" s="33"/>
      <c r="C913" s="67"/>
      <c r="D913" s="67"/>
      <c r="E913" s="67"/>
      <c r="F913" s="71"/>
      <c r="G913" s="73"/>
      <c r="H913" s="73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67"/>
      <c r="B914" s="33"/>
      <c r="C914" s="67"/>
      <c r="D914" s="67"/>
      <c r="E914" s="67"/>
      <c r="F914" s="71"/>
      <c r="G914" s="73"/>
      <c r="H914" s="73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67"/>
      <c r="B915" s="33"/>
      <c r="C915" s="67"/>
      <c r="D915" s="67"/>
      <c r="E915" s="67"/>
      <c r="F915" s="71"/>
      <c r="G915" s="73"/>
      <c r="H915" s="73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67"/>
      <c r="B916" s="33"/>
      <c r="C916" s="67"/>
      <c r="D916" s="67"/>
      <c r="E916" s="67"/>
      <c r="F916" s="71"/>
      <c r="G916" s="73"/>
      <c r="H916" s="73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67"/>
      <c r="B917" s="33"/>
      <c r="C917" s="67"/>
      <c r="D917" s="67"/>
      <c r="E917" s="67"/>
      <c r="F917" s="71"/>
      <c r="G917" s="73"/>
      <c r="H917" s="73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67"/>
      <c r="B918" s="33"/>
      <c r="C918" s="67"/>
      <c r="D918" s="67"/>
      <c r="E918" s="67"/>
      <c r="F918" s="71"/>
      <c r="G918" s="73"/>
      <c r="H918" s="73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67"/>
      <c r="B919" s="33"/>
      <c r="C919" s="67"/>
      <c r="D919" s="67"/>
      <c r="E919" s="67"/>
      <c r="F919" s="71"/>
      <c r="G919" s="73"/>
      <c r="H919" s="73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67"/>
      <c r="B920" s="33"/>
      <c r="C920" s="67"/>
      <c r="D920" s="67"/>
      <c r="E920" s="67"/>
      <c r="F920" s="71"/>
      <c r="G920" s="73"/>
      <c r="H920" s="73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67"/>
      <c r="B921" s="33"/>
      <c r="C921" s="67"/>
      <c r="D921" s="67"/>
      <c r="E921" s="67"/>
      <c r="F921" s="71"/>
      <c r="G921" s="73"/>
      <c r="H921" s="73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67"/>
      <c r="B922" s="33"/>
      <c r="C922" s="67"/>
      <c r="D922" s="67"/>
      <c r="E922" s="67"/>
      <c r="F922" s="71"/>
      <c r="G922" s="73"/>
      <c r="H922" s="73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67"/>
      <c r="B923" s="33"/>
      <c r="C923" s="67"/>
      <c r="D923" s="67"/>
      <c r="E923" s="67"/>
      <c r="F923" s="71"/>
      <c r="G923" s="73"/>
      <c r="H923" s="73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67"/>
      <c r="B924" s="33"/>
      <c r="C924" s="67"/>
      <c r="D924" s="67"/>
      <c r="E924" s="67"/>
      <c r="F924" s="71"/>
      <c r="G924" s="73"/>
      <c r="H924" s="73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67"/>
      <c r="B925" s="33"/>
      <c r="C925" s="67"/>
      <c r="D925" s="67"/>
      <c r="E925" s="67"/>
      <c r="F925" s="71"/>
      <c r="G925" s="73"/>
      <c r="H925" s="73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67"/>
      <c r="B926" s="33"/>
      <c r="C926" s="67"/>
      <c r="D926" s="67"/>
      <c r="E926" s="67"/>
      <c r="F926" s="71"/>
      <c r="G926" s="73"/>
      <c r="H926" s="73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67"/>
      <c r="B927" s="33"/>
      <c r="C927" s="67"/>
      <c r="D927" s="67"/>
      <c r="E927" s="67"/>
      <c r="F927" s="71"/>
      <c r="G927" s="73"/>
      <c r="H927" s="73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67"/>
      <c r="B928" s="33"/>
      <c r="C928" s="67"/>
      <c r="D928" s="67"/>
      <c r="E928" s="67"/>
      <c r="F928" s="71"/>
      <c r="G928" s="73"/>
      <c r="H928" s="73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67"/>
      <c r="B929" s="33"/>
      <c r="C929" s="67"/>
      <c r="D929" s="67"/>
      <c r="E929" s="67"/>
      <c r="F929" s="71"/>
      <c r="G929" s="73"/>
      <c r="H929" s="73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67"/>
      <c r="B930" s="33"/>
      <c r="C930" s="67"/>
      <c r="D930" s="67"/>
      <c r="E930" s="67"/>
      <c r="F930" s="71"/>
      <c r="G930" s="73"/>
      <c r="H930" s="73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67"/>
      <c r="B931" s="33"/>
      <c r="C931" s="67"/>
      <c r="D931" s="67"/>
      <c r="E931" s="67"/>
      <c r="F931" s="71"/>
      <c r="G931" s="73"/>
      <c r="H931" s="73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67"/>
      <c r="B932" s="33"/>
      <c r="C932" s="67"/>
      <c r="D932" s="67"/>
      <c r="E932" s="67"/>
      <c r="F932" s="71"/>
      <c r="G932" s="73"/>
      <c r="H932" s="73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67"/>
      <c r="B933" s="33"/>
      <c r="C933" s="67"/>
      <c r="D933" s="67"/>
      <c r="E933" s="67"/>
      <c r="F933" s="71"/>
      <c r="G933" s="73"/>
      <c r="H933" s="73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67"/>
      <c r="B934" s="33"/>
      <c r="C934" s="67"/>
      <c r="D934" s="67"/>
      <c r="E934" s="67"/>
      <c r="F934" s="71"/>
      <c r="G934" s="73"/>
      <c r="H934" s="73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67"/>
      <c r="B935" s="33"/>
      <c r="C935" s="67"/>
      <c r="D935" s="67"/>
      <c r="E935" s="67"/>
      <c r="F935" s="71"/>
      <c r="G935" s="73"/>
      <c r="H935" s="73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67"/>
      <c r="B936" s="33"/>
      <c r="C936" s="67"/>
      <c r="D936" s="67"/>
      <c r="E936" s="67"/>
      <c r="F936" s="71"/>
      <c r="G936" s="73"/>
      <c r="H936" s="73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67"/>
      <c r="B937" s="33"/>
      <c r="C937" s="67"/>
      <c r="D937" s="67"/>
      <c r="E937" s="67"/>
      <c r="F937" s="71"/>
      <c r="G937" s="73"/>
      <c r="H937" s="73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67"/>
      <c r="B938" s="33"/>
      <c r="C938" s="67"/>
      <c r="D938" s="67"/>
      <c r="E938" s="67"/>
      <c r="F938" s="71"/>
      <c r="G938" s="73"/>
      <c r="H938" s="73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67"/>
      <c r="B939" s="33"/>
      <c r="C939" s="67"/>
      <c r="D939" s="67"/>
      <c r="E939" s="67"/>
      <c r="F939" s="71"/>
      <c r="G939" s="73"/>
      <c r="H939" s="73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67"/>
      <c r="B940" s="33"/>
      <c r="C940" s="67"/>
      <c r="D940" s="67"/>
      <c r="E940" s="67"/>
      <c r="F940" s="71"/>
      <c r="G940" s="73"/>
      <c r="H940" s="73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67"/>
      <c r="B941" s="33"/>
      <c r="C941" s="67"/>
      <c r="D941" s="67"/>
      <c r="E941" s="67"/>
      <c r="F941" s="71"/>
      <c r="G941" s="73"/>
      <c r="H941" s="73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67"/>
      <c r="B942" s="33"/>
      <c r="C942" s="67"/>
      <c r="D942" s="67"/>
      <c r="E942" s="67"/>
      <c r="F942" s="71"/>
      <c r="G942" s="73"/>
      <c r="H942" s="73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67"/>
      <c r="B943" s="33"/>
      <c r="C943" s="67"/>
      <c r="D943" s="67"/>
      <c r="E943" s="67"/>
      <c r="F943" s="71"/>
      <c r="G943" s="73"/>
      <c r="H943" s="73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67"/>
      <c r="B944" s="33"/>
      <c r="C944" s="67"/>
      <c r="D944" s="67"/>
      <c r="E944" s="67"/>
      <c r="F944" s="71"/>
      <c r="G944" s="73"/>
      <c r="H944" s="73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67"/>
      <c r="B945" s="33"/>
      <c r="C945" s="67"/>
      <c r="D945" s="67"/>
      <c r="E945" s="67"/>
      <c r="F945" s="71"/>
      <c r="G945" s="73"/>
      <c r="H945" s="73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67"/>
      <c r="B946" s="33"/>
      <c r="C946" s="67"/>
      <c r="D946" s="67"/>
      <c r="E946" s="67"/>
      <c r="F946" s="71"/>
      <c r="G946" s="73"/>
      <c r="H946" s="73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67"/>
      <c r="B947" s="33"/>
      <c r="C947" s="67"/>
      <c r="D947" s="67"/>
      <c r="E947" s="67"/>
      <c r="F947" s="71"/>
      <c r="G947" s="73"/>
      <c r="H947" s="73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67"/>
      <c r="B948" s="33"/>
      <c r="C948" s="67"/>
      <c r="D948" s="67"/>
      <c r="E948" s="67"/>
      <c r="F948" s="71"/>
      <c r="G948" s="73"/>
      <c r="H948" s="73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67"/>
      <c r="B949" s="33"/>
      <c r="C949" s="67"/>
      <c r="D949" s="67"/>
      <c r="E949" s="67"/>
      <c r="F949" s="71"/>
      <c r="G949" s="73"/>
      <c r="H949" s="73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67"/>
      <c r="B950" s="33"/>
      <c r="C950" s="67"/>
      <c r="D950" s="67"/>
      <c r="E950" s="67"/>
      <c r="F950" s="71"/>
      <c r="G950" s="73"/>
      <c r="H950" s="73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67"/>
      <c r="B951" s="33"/>
      <c r="C951" s="67"/>
      <c r="D951" s="67"/>
      <c r="E951" s="67"/>
      <c r="F951" s="71"/>
      <c r="G951" s="73"/>
      <c r="H951" s="73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67"/>
      <c r="B952" s="33"/>
      <c r="C952" s="67"/>
      <c r="D952" s="67"/>
      <c r="E952" s="67"/>
      <c r="F952" s="71"/>
      <c r="G952" s="73"/>
      <c r="H952" s="73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67"/>
      <c r="B953" s="33"/>
      <c r="C953" s="67"/>
      <c r="D953" s="67"/>
      <c r="E953" s="67"/>
      <c r="F953" s="71"/>
      <c r="G953" s="73"/>
      <c r="H953" s="73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67"/>
      <c r="B954" s="33"/>
      <c r="C954" s="67"/>
      <c r="D954" s="67"/>
      <c r="E954" s="67"/>
      <c r="F954" s="71"/>
      <c r="G954" s="73"/>
      <c r="H954" s="73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67"/>
      <c r="B955" s="33"/>
      <c r="C955" s="67"/>
      <c r="D955" s="67"/>
      <c r="E955" s="67"/>
      <c r="F955" s="71"/>
      <c r="G955" s="73"/>
      <c r="H955" s="73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67"/>
      <c r="B956" s="33"/>
      <c r="C956" s="67"/>
      <c r="D956" s="67"/>
      <c r="E956" s="67"/>
      <c r="F956" s="71"/>
      <c r="G956" s="73"/>
      <c r="H956" s="73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67"/>
      <c r="B957" s="33"/>
      <c r="C957" s="67"/>
      <c r="D957" s="67"/>
      <c r="E957" s="67"/>
      <c r="F957" s="71"/>
      <c r="G957" s="73"/>
      <c r="H957" s="73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67"/>
      <c r="B958" s="33"/>
      <c r="C958" s="67"/>
      <c r="D958" s="67"/>
      <c r="E958" s="67"/>
      <c r="F958" s="71"/>
      <c r="G958" s="73"/>
      <c r="H958" s="73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67"/>
      <c r="B959" s="33"/>
      <c r="C959" s="67"/>
      <c r="D959" s="67"/>
      <c r="E959" s="67"/>
      <c r="F959" s="71"/>
      <c r="G959" s="73"/>
      <c r="H959" s="73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67"/>
      <c r="B960" s="33"/>
      <c r="C960" s="67"/>
      <c r="D960" s="67"/>
      <c r="E960" s="67"/>
      <c r="F960" s="71"/>
      <c r="G960" s="73"/>
      <c r="H960" s="73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67"/>
      <c r="B961" s="33"/>
      <c r="C961" s="67"/>
      <c r="D961" s="67"/>
      <c r="E961" s="67"/>
      <c r="F961" s="71"/>
      <c r="G961" s="73"/>
      <c r="H961" s="73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67"/>
      <c r="B962" s="33"/>
      <c r="C962" s="67"/>
      <c r="D962" s="67"/>
      <c r="E962" s="67"/>
      <c r="F962" s="71"/>
      <c r="G962" s="73"/>
      <c r="H962" s="73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67"/>
      <c r="B963" s="33"/>
      <c r="C963" s="67"/>
      <c r="D963" s="67"/>
      <c r="E963" s="67"/>
      <c r="F963" s="71"/>
      <c r="G963" s="73"/>
      <c r="H963" s="73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67"/>
      <c r="B964" s="33"/>
      <c r="C964" s="67"/>
      <c r="D964" s="67"/>
      <c r="E964" s="67"/>
      <c r="F964" s="71"/>
      <c r="G964" s="73"/>
      <c r="H964" s="73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67"/>
      <c r="B965" s="33"/>
      <c r="C965" s="67"/>
      <c r="D965" s="67"/>
      <c r="E965" s="67"/>
      <c r="F965" s="71"/>
      <c r="G965" s="73"/>
      <c r="H965" s="73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67"/>
      <c r="B966" s="33"/>
      <c r="C966" s="67"/>
      <c r="D966" s="67"/>
      <c r="E966" s="67"/>
      <c r="F966" s="71"/>
      <c r="G966" s="73"/>
      <c r="H966" s="73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67"/>
      <c r="B967" s="33"/>
      <c r="C967" s="67"/>
      <c r="D967" s="67"/>
      <c r="E967" s="67"/>
      <c r="F967" s="71"/>
      <c r="G967" s="73"/>
      <c r="H967" s="73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67"/>
      <c r="B968" s="33"/>
      <c r="C968" s="67"/>
      <c r="D968" s="67"/>
      <c r="E968" s="67"/>
      <c r="F968" s="71"/>
      <c r="G968" s="73"/>
      <c r="H968" s="73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67"/>
      <c r="B969" s="33"/>
      <c r="C969" s="67"/>
      <c r="D969" s="67"/>
      <c r="E969" s="67"/>
      <c r="F969" s="71"/>
      <c r="G969" s="73"/>
      <c r="H969" s="73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67"/>
      <c r="B970" s="33"/>
      <c r="C970" s="67"/>
      <c r="D970" s="67"/>
      <c r="E970" s="67"/>
      <c r="F970" s="71"/>
      <c r="G970" s="73"/>
      <c r="H970" s="73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67"/>
      <c r="B971" s="33"/>
      <c r="C971" s="67"/>
      <c r="D971" s="67"/>
      <c r="E971" s="67"/>
      <c r="F971" s="71"/>
      <c r="G971" s="73"/>
      <c r="H971" s="73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67"/>
      <c r="B972" s="33"/>
      <c r="C972" s="67"/>
      <c r="D972" s="67"/>
      <c r="E972" s="67"/>
      <c r="F972" s="71"/>
      <c r="G972" s="73"/>
      <c r="H972" s="73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67"/>
      <c r="B973" s="33"/>
      <c r="C973" s="67"/>
      <c r="D973" s="67"/>
      <c r="E973" s="67"/>
      <c r="F973" s="71"/>
      <c r="G973" s="73"/>
      <c r="H973" s="73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67"/>
      <c r="B974" s="33"/>
      <c r="C974" s="67"/>
      <c r="D974" s="67"/>
      <c r="E974" s="67"/>
      <c r="F974" s="71"/>
      <c r="G974" s="73"/>
      <c r="H974" s="73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67"/>
      <c r="B975" s="33"/>
      <c r="C975" s="67"/>
      <c r="D975" s="67"/>
      <c r="E975" s="67"/>
      <c r="F975" s="71"/>
      <c r="G975" s="73"/>
      <c r="H975" s="73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67"/>
      <c r="B976" s="33"/>
      <c r="C976" s="67"/>
      <c r="D976" s="67"/>
      <c r="E976" s="67"/>
      <c r="F976" s="71"/>
      <c r="G976" s="73"/>
      <c r="H976" s="73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67"/>
      <c r="B977" s="33"/>
      <c r="C977" s="67"/>
      <c r="D977" s="67"/>
      <c r="E977" s="67"/>
      <c r="F977" s="71"/>
      <c r="G977" s="73"/>
      <c r="H977" s="73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67"/>
      <c r="B978" s="33"/>
      <c r="C978" s="67"/>
      <c r="D978" s="67"/>
      <c r="E978" s="67"/>
      <c r="F978" s="71"/>
      <c r="G978" s="73"/>
      <c r="H978" s="73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67"/>
      <c r="B979" s="33"/>
      <c r="C979" s="67"/>
      <c r="D979" s="67"/>
      <c r="E979" s="67"/>
      <c r="F979" s="71"/>
      <c r="G979" s="73"/>
      <c r="H979" s="73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67"/>
      <c r="B980" s="33"/>
      <c r="C980" s="67"/>
      <c r="D980" s="67"/>
      <c r="E980" s="67"/>
      <c r="F980" s="71"/>
      <c r="G980" s="73"/>
      <c r="H980" s="73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67"/>
      <c r="B981" s="33"/>
      <c r="C981" s="67"/>
      <c r="D981" s="67"/>
      <c r="E981" s="67"/>
      <c r="F981" s="71"/>
      <c r="G981" s="73"/>
      <c r="H981" s="73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67"/>
      <c r="B982" s="33"/>
      <c r="C982" s="67"/>
      <c r="D982" s="67"/>
      <c r="E982" s="67"/>
      <c r="F982" s="71"/>
      <c r="G982" s="73"/>
      <c r="H982" s="73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67"/>
      <c r="B983" s="33"/>
      <c r="C983" s="67"/>
      <c r="D983" s="67"/>
      <c r="E983" s="67"/>
      <c r="F983" s="71"/>
      <c r="G983" s="73"/>
      <c r="H983" s="73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67"/>
      <c r="B984" s="33"/>
      <c r="C984" s="67"/>
      <c r="D984" s="67"/>
      <c r="E984" s="67"/>
      <c r="F984" s="71"/>
      <c r="G984" s="73"/>
      <c r="H984" s="73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67"/>
      <c r="B985" s="33"/>
      <c r="C985" s="67"/>
      <c r="D985" s="67"/>
      <c r="E985" s="67"/>
      <c r="F985" s="71"/>
      <c r="G985" s="73"/>
      <c r="H985" s="73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67"/>
      <c r="B986" s="33"/>
      <c r="C986" s="67"/>
      <c r="D986" s="67"/>
      <c r="E986" s="67"/>
      <c r="F986" s="71"/>
      <c r="G986" s="73"/>
      <c r="H986" s="73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67"/>
      <c r="B987" s="33"/>
      <c r="C987" s="67"/>
      <c r="D987" s="67"/>
      <c r="E987" s="67"/>
      <c r="F987" s="71"/>
      <c r="G987" s="73"/>
      <c r="H987" s="73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67"/>
      <c r="B988" s="33"/>
      <c r="C988" s="67"/>
      <c r="D988" s="67"/>
      <c r="E988" s="67"/>
      <c r="F988" s="71"/>
      <c r="G988" s="73"/>
      <c r="H988" s="73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67"/>
      <c r="B989" s="33"/>
      <c r="C989" s="67"/>
      <c r="D989" s="67"/>
      <c r="E989" s="67"/>
      <c r="F989" s="71"/>
      <c r="G989" s="73"/>
      <c r="H989" s="73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67"/>
      <c r="B990" s="33"/>
      <c r="C990" s="67"/>
      <c r="D990" s="67"/>
      <c r="E990" s="67"/>
      <c r="F990" s="71"/>
      <c r="G990" s="73"/>
      <c r="H990" s="73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67"/>
      <c r="B991" s="33"/>
      <c r="C991" s="67"/>
      <c r="D991" s="67"/>
      <c r="E991" s="67"/>
      <c r="F991" s="71"/>
      <c r="G991" s="73"/>
      <c r="H991" s="73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67"/>
      <c r="B992" s="33"/>
      <c r="C992" s="67"/>
      <c r="D992" s="67"/>
      <c r="E992" s="67"/>
      <c r="F992" s="71"/>
      <c r="G992" s="73"/>
      <c r="H992" s="73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67"/>
      <c r="B993" s="33"/>
      <c r="C993" s="67"/>
      <c r="D993" s="67"/>
      <c r="E993" s="67"/>
      <c r="F993" s="71"/>
      <c r="G993" s="73"/>
      <c r="H993" s="73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67"/>
      <c r="B994" s="33"/>
      <c r="C994" s="67"/>
      <c r="D994" s="67"/>
      <c r="E994" s="67"/>
      <c r="F994" s="71"/>
      <c r="G994" s="73"/>
      <c r="H994" s="73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67"/>
      <c r="B995" s="33"/>
      <c r="C995" s="67"/>
      <c r="D995" s="67"/>
      <c r="E995" s="67"/>
      <c r="F995" s="71"/>
      <c r="G995" s="73"/>
      <c r="H995" s="73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67"/>
      <c r="B996" s="33"/>
      <c r="C996" s="67"/>
      <c r="D996" s="67"/>
      <c r="E996" s="67"/>
      <c r="F996" s="71"/>
      <c r="G996" s="73"/>
      <c r="H996" s="73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67"/>
      <c r="B997" s="33"/>
      <c r="C997" s="67"/>
      <c r="D997" s="67"/>
      <c r="E997" s="67"/>
      <c r="F997" s="71"/>
      <c r="G997" s="73"/>
      <c r="H997" s="73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67"/>
      <c r="B998" s="33"/>
      <c r="C998" s="67"/>
      <c r="D998" s="67"/>
      <c r="E998" s="67"/>
      <c r="F998" s="71"/>
      <c r="G998" s="73"/>
      <c r="H998" s="73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67"/>
      <c r="B999" s="33"/>
      <c r="C999" s="67"/>
      <c r="D999" s="67"/>
      <c r="E999" s="67"/>
      <c r="F999" s="71"/>
      <c r="G999" s="73"/>
      <c r="H999" s="73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67"/>
      <c r="B1000" s="33"/>
      <c r="C1000" s="67"/>
      <c r="D1000" s="67"/>
      <c r="E1000" s="67"/>
      <c r="F1000" s="71"/>
      <c r="G1000" s="73"/>
      <c r="H1000" s="73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3">
    <mergeCell ref="F7:F8"/>
    <mergeCell ref="G7:H7"/>
    <mergeCell ref="G95:H95"/>
    <mergeCell ref="G96:H96"/>
    <mergeCell ref="G97:H97"/>
    <mergeCell ref="A117:H117"/>
    <mergeCell ref="G1:H4"/>
    <mergeCell ref="A6:H6"/>
    <mergeCell ref="A7:A8"/>
    <mergeCell ref="B7:B8"/>
    <mergeCell ref="C7:C8"/>
    <mergeCell ref="D7:D8"/>
    <mergeCell ref="E7:E8"/>
  </mergeCells>
  <printOptions horizontalCentered="1"/>
  <pageMargins bottom="0.5905511811023623" footer="0.0" header="0.0" left="0.1968503937007874" right="0.1968503937007874" top="0.5905511811023623"/>
  <pageSetup paperSize="9" orientation="portrait"/>
  <headerFooter>
    <oddHeader>&amp;R&amp;F  Page &amp;P of  </oddHeader>
  </headerFooter>
  <rowBreaks count="1" manualBreakCount="1">
    <brk id="64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17.25"/>
    <col customWidth="1" min="2" max="2" width="67.75"/>
    <col customWidth="1" min="3" max="3" width="9.75"/>
    <col customWidth="1" min="4" max="4" width="5.88"/>
    <col customWidth="1" min="5" max="6" width="5.63"/>
    <col customWidth="1" min="7" max="7" width="15.75"/>
    <col customWidth="1" min="8" max="26" width="9.13"/>
  </cols>
  <sheetData>
    <row r="1" ht="19.5" customHeight="1">
      <c r="A1" s="123"/>
      <c r="B1" s="33"/>
      <c r="C1" s="120"/>
      <c r="D1" s="124" t="s">
        <v>197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123"/>
      <c r="B2" s="33"/>
      <c r="C2" s="1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123"/>
      <c r="B3" s="33"/>
      <c r="C3" s="125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123"/>
      <c r="B4" s="33"/>
      <c r="C4" s="125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123"/>
      <c r="B5" s="33"/>
      <c r="C5" s="125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23"/>
      <c r="B6" s="33"/>
      <c r="C6" s="71"/>
      <c r="D6" s="126"/>
      <c r="E6" s="126"/>
      <c r="F6" s="126"/>
      <c r="G6" s="127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28" t="s">
        <v>376</v>
      </c>
      <c r="B7" s="12"/>
      <c r="C7" s="12"/>
      <c r="D7" s="12"/>
      <c r="E7" s="12"/>
      <c r="F7" s="12"/>
      <c r="G7" s="13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29" t="s">
        <v>199</v>
      </c>
      <c r="B8" s="130" t="s">
        <v>377</v>
      </c>
      <c r="C8" s="131" t="s">
        <v>378</v>
      </c>
      <c r="D8" s="132" t="s">
        <v>379</v>
      </c>
      <c r="E8" s="133" t="s">
        <v>380</v>
      </c>
      <c r="F8" s="133" t="s">
        <v>381</v>
      </c>
      <c r="G8" s="134" t="s">
        <v>382</v>
      </c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>
      <c r="A9" s="136"/>
      <c r="B9" s="137" t="s">
        <v>94</v>
      </c>
      <c r="C9" s="138"/>
      <c r="D9" s="139"/>
      <c r="E9" s="139"/>
      <c r="F9" s="139"/>
      <c r="G9" s="14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93" t="s">
        <v>383</v>
      </c>
      <c r="B10" s="61" t="s">
        <v>384</v>
      </c>
      <c r="C10" s="95">
        <v>6.93</v>
      </c>
      <c r="D10" s="94">
        <v>12.0</v>
      </c>
      <c r="E10" s="94">
        <v>12.0</v>
      </c>
      <c r="F10" s="94">
        <v>36.0</v>
      </c>
      <c r="G10" s="97">
        <v>6.009608644887E12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93" t="s">
        <v>385</v>
      </c>
      <c r="B11" s="61" t="s">
        <v>386</v>
      </c>
      <c r="C11" s="95">
        <v>7.93</v>
      </c>
      <c r="D11" s="94">
        <v>12.0</v>
      </c>
      <c r="E11" s="94">
        <v>12.0</v>
      </c>
      <c r="F11" s="94">
        <v>36.0</v>
      </c>
      <c r="G11" s="97">
        <v>6.00960864487E12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93"/>
      <c r="B12" s="61"/>
      <c r="C12" s="95"/>
      <c r="D12" s="94"/>
      <c r="E12" s="94"/>
      <c r="F12" s="94"/>
      <c r="G12" s="97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99"/>
      <c r="B13" s="101" t="s">
        <v>97</v>
      </c>
      <c r="C13" s="95"/>
      <c r="D13" s="94"/>
      <c r="E13" s="94"/>
      <c r="F13" s="94"/>
      <c r="G13" s="97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93" t="s">
        <v>387</v>
      </c>
      <c r="B14" s="61" t="s">
        <v>388</v>
      </c>
      <c r="C14" s="95">
        <v>18.9</v>
      </c>
      <c r="D14" s="94">
        <v>6.0</v>
      </c>
      <c r="E14" s="94">
        <v>6.0</v>
      </c>
      <c r="F14" s="94">
        <v>144.0</v>
      </c>
      <c r="G14" s="97">
        <v>6.00960864416E12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93"/>
      <c r="B15" s="61"/>
      <c r="C15" s="95"/>
      <c r="D15" s="94"/>
      <c r="E15" s="94"/>
      <c r="F15" s="94"/>
      <c r="G15" s="97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99"/>
      <c r="B16" s="101" t="s">
        <v>100</v>
      </c>
      <c r="C16" s="95"/>
      <c r="D16" s="94"/>
      <c r="E16" s="94"/>
      <c r="F16" s="94"/>
      <c r="G16" s="97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93" t="s">
        <v>389</v>
      </c>
      <c r="B17" s="61" t="s">
        <v>390</v>
      </c>
      <c r="C17" s="95">
        <v>47.86</v>
      </c>
      <c r="D17" s="94">
        <v>1.0</v>
      </c>
      <c r="E17" s="94">
        <v>50.0</v>
      </c>
      <c r="F17" s="94">
        <v>200.0</v>
      </c>
      <c r="G17" s="97">
        <v>6.00969806084E12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93" t="s">
        <v>391</v>
      </c>
      <c r="B18" s="61" t="s">
        <v>392</v>
      </c>
      <c r="C18" s="95">
        <v>53.18</v>
      </c>
      <c r="D18" s="94">
        <v>1.0</v>
      </c>
      <c r="E18" s="94">
        <v>50.0</v>
      </c>
      <c r="F18" s="94">
        <v>200.0</v>
      </c>
      <c r="G18" s="97">
        <v>6.009635841358E12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93" t="s">
        <v>393</v>
      </c>
      <c r="B19" s="61" t="s">
        <v>394</v>
      </c>
      <c r="C19" s="95">
        <v>71.24000000000001</v>
      </c>
      <c r="D19" s="94">
        <v>1.0</v>
      </c>
      <c r="E19" s="94">
        <v>50.0</v>
      </c>
      <c r="F19" s="94">
        <v>200.0</v>
      </c>
      <c r="G19" s="97">
        <v>6.009635841389E12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93" t="s">
        <v>395</v>
      </c>
      <c r="B20" s="61" t="s">
        <v>396</v>
      </c>
      <c r="C20" s="95">
        <v>84.23</v>
      </c>
      <c r="D20" s="94">
        <v>1.0</v>
      </c>
      <c r="E20" s="94">
        <v>50.0</v>
      </c>
      <c r="F20" s="94">
        <v>200.0</v>
      </c>
      <c r="G20" s="97">
        <v>6.009697795682E12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93" t="s">
        <v>397</v>
      </c>
      <c r="B21" s="61" t="s">
        <v>398</v>
      </c>
      <c r="C21" s="95">
        <v>46.589999999999996</v>
      </c>
      <c r="D21" s="94">
        <v>12.0</v>
      </c>
      <c r="E21" s="94">
        <v>12.0</v>
      </c>
      <c r="F21" s="94">
        <v>72.0</v>
      </c>
      <c r="G21" s="97">
        <v>6.009699515035E12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93" t="s">
        <v>399</v>
      </c>
      <c r="B22" s="61" t="s">
        <v>400</v>
      </c>
      <c r="C22" s="95">
        <v>10.08</v>
      </c>
      <c r="D22" s="94">
        <v>12.0</v>
      </c>
      <c r="E22" s="94">
        <v>12.0</v>
      </c>
      <c r="F22" s="94">
        <v>144.0</v>
      </c>
      <c r="G22" s="97">
        <v>6.009685850256E12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93"/>
      <c r="B23" s="61"/>
      <c r="C23" s="95"/>
      <c r="D23" s="94"/>
      <c r="E23" s="94"/>
      <c r="F23" s="94"/>
      <c r="G23" s="97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99"/>
      <c r="B24" s="101" t="s">
        <v>103</v>
      </c>
      <c r="C24" s="95"/>
      <c r="D24" s="94"/>
      <c r="E24" s="94"/>
      <c r="F24" s="94"/>
      <c r="G24" s="97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93" t="s">
        <v>401</v>
      </c>
      <c r="B25" s="61" t="s">
        <v>402</v>
      </c>
      <c r="C25" s="95">
        <v>26.19</v>
      </c>
      <c r="D25" s="94">
        <v>12.0</v>
      </c>
      <c r="E25" s="94">
        <v>12.0</v>
      </c>
      <c r="F25" s="94">
        <v>144.0</v>
      </c>
      <c r="G25" s="97">
        <v>6.009699517947E12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93" t="s">
        <v>403</v>
      </c>
      <c r="B26" s="61" t="s">
        <v>404</v>
      </c>
      <c r="C26" s="95">
        <v>15.6</v>
      </c>
      <c r="D26" s="94">
        <v>12.0</v>
      </c>
      <c r="E26" s="94">
        <v>12.0</v>
      </c>
      <c r="F26" s="94">
        <v>144.0</v>
      </c>
      <c r="G26" s="97">
        <v>6.009699517862E12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115" t="s">
        <v>405</v>
      </c>
      <c r="B27" s="61" t="s">
        <v>406</v>
      </c>
      <c r="C27" s="95">
        <v>29.76</v>
      </c>
      <c r="D27" s="94">
        <v>6.0</v>
      </c>
      <c r="E27" s="94">
        <v>6.0</v>
      </c>
      <c r="F27" s="94">
        <v>72.0</v>
      </c>
      <c r="G27" s="97">
        <v>6.009608646645E12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93" t="s">
        <v>407</v>
      </c>
      <c r="B28" s="61" t="s">
        <v>408</v>
      </c>
      <c r="C28" s="95">
        <v>15.37</v>
      </c>
      <c r="D28" s="94">
        <v>12.0</v>
      </c>
      <c r="E28" s="94">
        <v>12.0</v>
      </c>
      <c r="F28" s="94">
        <v>144.0</v>
      </c>
      <c r="G28" s="97">
        <v>6.009699517923E12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93" t="s">
        <v>409</v>
      </c>
      <c r="B29" s="61" t="s">
        <v>410</v>
      </c>
      <c r="C29" s="95">
        <v>20.970000000000002</v>
      </c>
      <c r="D29" s="94">
        <v>12.0</v>
      </c>
      <c r="E29" s="94">
        <v>12.0</v>
      </c>
      <c r="F29" s="94">
        <v>144.0</v>
      </c>
      <c r="G29" s="97">
        <v>6.009685855268E12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93" t="s">
        <v>411</v>
      </c>
      <c r="B30" s="61" t="s">
        <v>412</v>
      </c>
      <c r="C30" s="95">
        <v>13.17</v>
      </c>
      <c r="D30" s="94">
        <v>12.0</v>
      </c>
      <c r="E30" s="94">
        <v>12.0</v>
      </c>
      <c r="F30" s="94">
        <v>144.0</v>
      </c>
      <c r="G30" s="97">
        <v>6.009699517886E12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93"/>
      <c r="B31" s="61"/>
      <c r="C31" s="95"/>
      <c r="D31" s="94"/>
      <c r="E31" s="94"/>
      <c r="F31" s="94"/>
      <c r="G31" s="97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99"/>
      <c r="B32" s="101" t="s">
        <v>112</v>
      </c>
      <c r="C32" s="95"/>
      <c r="D32" s="94"/>
      <c r="E32" s="94"/>
      <c r="F32" s="94"/>
      <c r="G32" s="97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93" t="s">
        <v>413</v>
      </c>
      <c r="B33" s="59" t="s">
        <v>414</v>
      </c>
      <c r="C33" s="95">
        <v>21.16</v>
      </c>
      <c r="D33" s="94">
        <v>10.0</v>
      </c>
      <c r="E33" s="94">
        <v>10.0</v>
      </c>
      <c r="F33" s="94">
        <v>160.0</v>
      </c>
      <c r="G33" s="97">
        <v>6.009699519026E12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93" t="s">
        <v>415</v>
      </c>
      <c r="B34" s="61" t="s">
        <v>416</v>
      </c>
      <c r="C34" s="95">
        <v>40.0</v>
      </c>
      <c r="D34" s="94">
        <v>7.0</v>
      </c>
      <c r="E34" s="141">
        <v>7.0</v>
      </c>
      <c r="F34" s="141">
        <v>98.0</v>
      </c>
      <c r="G34" s="97">
        <v>6.009608649042E12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93" t="s">
        <v>417</v>
      </c>
      <c r="B35" s="61" t="s">
        <v>418</v>
      </c>
      <c r="C35" s="95">
        <v>60.89</v>
      </c>
      <c r="D35" s="94">
        <v>6.0</v>
      </c>
      <c r="E35" s="141">
        <v>6.0</v>
      </c>
      <c r="F35" s="141">
        <v>144.0</v>
      </c>
      <c r="G35" s="97">
        <v>6.009697790359E12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99"/>
      <c r="B36" s="61"/>
      <c r="C36" s="95"/>
      <c r="D36" s="94"/>
      <c r="E36" s="94"/>
      <c r="F36" s="94"/>
      <c r="G36" s="97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99"/>
      <c r="B37" s="101" t="s">
        <v>171</v>
      </c>
      <c r="C37" s="95"/>
      <c r="D37" s="94"/>
      <c r="E37" s="94"/>
      <c r="F37" s="94"/>
      <c r="G37" s="97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93" t="s">
        <v>419</v>
      </c>
      <c r="B38" s="61" t="s">
        <v>420</v>
      </c>
      <c r="C38" s="95">
        <v>22.05</v>
      </c>
      <c r="D38" s="94">
        <v>12.0</v>
      </c>
      <c r="E38" s="94">
        <v>12.0</v>
      </c>
      <c r="F38" s="94">
        <v>144.0</v>
      </c>
      <c r="G38" s="97">
        <v>6.009685850591E12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93" t="s">
        <v>421</v>
      </c>
      <c r="B39" s="61" t="s">
        <v>422</v>
      </c>
      <c r="C39" s="95">
        <v>37.75</v>
      </c>
      <c r="D39" s="94">
        <v>12.0</v>
      </c>
      <c r="E39" s="94">
        <v>12.0</v>
      </c>
      <c r="F39" s="94">
        <v>144.0</v>
      </c>
      <c r="G39" s="97">
        <v>6.009685850607E12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93" t="s">
        <v>423</v>
      </c>
      <c r="B40" s="61" t="s">
        <v>424</v>
      </c>
      <c r="C40" s="95">
        <v>23.770000000000003</v>
      </c>
      <c r="D40" s="94">
        <v>12.0</v>
      </c>
      <c r="E40" s="94">
        <v>12.0</v>
      </c>
      <c r="F40" s="94">
        <v>144.0</v>
      </c>
      <c r="G40" s="97">
        <v>6.009635840399E12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93" t="s">
        <v>425</v>
      </c>
      <c r="B41" s="61" t="s">
        <v>426</v>
      </c>
      <c r="C41" s="95">
        <v>38.08</v>
      </c>
      <c r="D41" s="94">
        <v>12.0</v>
      </c>
      <c r="E41" s="94">
        <v>12.0</v>
      </c>
      <c r="F41" s="94">
        <v>144.0</v>
      </c>
      <c r="G41" s="97">
        <v>6.009608649523E12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93" t="s">
        <v>427</v>
      </c>
      <c r="B42" s="61" t="s">
        <v>428</v>
      </c>
      <c r="C42" s="95">
        <v>102.69000000000001</v>
      </c>
      <c r="D42" s="94">
        <v>12.0</v>
      </c>
      <c r="E42" s="94">
        <v>12.0</v>
      </c>
      <c r="F42" s="94">
        <v>96.0</v>
      </c>
      <c r="G42" s="97">
        <v>6.009698063278E12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93" t="s">
        <v>429</v>
      </c>
      <c r="B43" s="61" t="s">
        <v>430</v>
      </c>
      <c r="C43" s="95">
        <v>79.57000000000001</v>
      </c>
      <c r="D43" s="94">
        <v>12.0</v>
      </c>
      <c r="E43" s="94">
        <v>12.0</v>
      </c>
      <c r="F43" s="94">
        <v>96.0</v>
      </c>
      <c r="G43" s="97">
        <v>6.00969951074E12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93" t="s">
        <v>431</v>
      </c>
      <c r="B44" s="61" t="s">
        <v>432</v>
      </c>
      <c r="C44" s="95">
        <v>93.45</v>
      </c>
      <c r="D44" s="94">
        <v>12.0</v>
      </c>
      <c r="E44" s="94">
        <v>12.0</v>
      </c>
      <c r="F44" s="94">
        <v>96.0</v>
      </c>
      <c r="G44" s="97">
        <v>6.009699510764E12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99"/>
      <c r="B45" s="61"/>
      <c r="C45" s="95"/>
      <c r="D45" s="94"/>
      <c r="E45" s="94"/>
      <c r="F45" s="94"/>
      <c r="G45" s="97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99"/>
      <c r="B46" s="101" t="s">
        <v>433</v>
      </c>
      <c r="C46" s="95"/>
      <c r="D46" s="94"/>
      <c r="E46" s="94"/>
      <c r="F46" s="94"/>
      <c r="G46" s="97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93" t="s">
        <v>434</v>
      </c>
      <c r="B47" s="61" t="s">
        <v>435</v>
      </c>
      <c r="C47" s="95">
        <v>45.33</v>
      </c>
      <c r="D47" s="94">
        <v>6.0</v>
      </c>
      <c r="E47" s="94">
        <v>6.0</v>
      </c>
      <c r="F47" s="94">
        <v>120.0</v>
      </c>
      <c r="G47" s="97">
        <v>6.009608644177E12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99"/>
      <c r="B48" s="61"/>
      <c r="C48" s="95"/>
      <c r="D48" s="94"/>
      <c r="E48" s="94"/>
      <c r="F48" s="94"/>
      <c r="G48" s="9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99"/>
      <c r="B49" s="101" t="s">
        <v>436</v>
      </c>
      <c r="C49" s="95"/>
      <c r="D49" s="94"/>
      <c r="E49" s="94"/>
      <c r="F49" s="94"/>
      <c r="G49" s="9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93" t="s">
        <v>437</v>
      </c>
      <c r="B50" s="61" t="s">
        <v>438</v>
      </c>
      <c r="C50" s="95">
        <v>6.67</v>
      </c>
      <c r="D50" s="94">
        <v>12.0</v>
      </c>
      <c r="E50" s="94">
        <v>12.0</v>
      </c>
      <c r="F50" s="94">
        <v>144.0</v>
      </c>
      <c r="G50" s="97">
        <v>6.00960864119E12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93" t="s">
        <v>439</v>
      </c>
      <c r="B51" s="61" t="s">
        <v>440</v>
      </c>
      <c r="C51" s="95">
        <v>7.64</v>
      </c>
      <c r="D51" s="94">
        <v>12.0</v>
      </c>
      <c r="E51" s="94">
        <v>12.0</v>
      </c>
      <c r="F51" s="94">
        <v>144.0</v>
      </c>
      <c r="G51" s="97">
        <v>6.009608641008E12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93" t="s">
        <v>441</v>
      </c>
      <c r="B52" s="61" t="s">
        <v>442</v>
      </c>
      <c r="C52" s="95">
        <v>13.74</v>
      </c>
      <c r="D52" s="94">
        <v>10.0</v>
      </c>
      <c r="E52" s="94">
        <v>10.0</v>
      </c>
      <c r="F52" s="94">
        <v>30.0</v>
      </c>
      <c r="G52" s="97">
        <v>6.00960864263E12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93" t="s">
        <v>443</v>
      </c>
      <c r="B53" s="61" t="s">
        <v>444</v>
      </c>
      <c r="C53" s="95">
        <v>20.03</v>
      </c>
      <c r="D53" s="94">
        <v>10.0</v>
      </c>
      <c r="E53" s="94">
        <v>10.0</v>
      </c>
      <c r="F53" s="94">
        <v>30.0</v>
      </c>
      <c r="G53" s="97">
        <v>6.009608641404E12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93" t="s">
        <v>445</v>
      </c>
      <c r="B54" s="61" t="s">
        <v>446</v>
      </c>
      <c r="C54" s="95">
        <v>11.19</v>
      </c>
      <c r="D54" s="94">
        <v>10.0</v>
      </c>
      <c r="E54" s="94">
        <v>10.0</v>
      </c>
      <c r="F54" s="94">
        <v>30.0</v>
      </c>
      <c r="G54" s="97">
        <v>6.009608648595E12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93" t="s">
        <v>447</v>
      </c>
      <c r="B55" s="61" t="s">
        <v>448</v>
      </c>
      <c r="C55" s="95">
        <v>12.7</v>
      </c>
      <c r="D55" s="94">
        <v>10.0</v>
      </c>
      <c r="E55" s="94">
        <v>10.0</v>
      </c>
      <c r="F55" s="94">
        <v>30.0</v>
      </c>
      <c r="G55" s="97">
        <v>6.009608648618E12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93" t="s">
        <v>449</v>
      </c>
      <c r="B56" s="61" t="s">
        <v>450</v>
      </c>
      <c r="C56" s="95">
        <v>11.37</v>
      </c>
      <c r="D56" s="94">
        <v>12.0</v>
      </c>
      <c r="E56" s="94">
        <v>12.0</v>
      </c>
      <c r="F56" s="94">
        <v>72.0</v>
      </c>
      <c r="G56" s="97">
        <v>6.009635837122E12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93" t="s">
        <v>451</v>
      </c>
      <c r="B57" s="61" t="s">
        <v>452</v>
      </c>
      <c r="C57" s="95">
        <v>11.79</v>
      </c>
      <c r="D57" s="94">
        <v>12.0</v>
      </c>
      <c r="E57" s="94">
        <v>12.0</v>
      </c>
      <c r="F57" s="94">
        <v>72.0</v>
      </c>
      <c r="G57" s="97">
        <v>6.009608647888E12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93" t="s">
        <v>453</v>
      </c>
      <c r="B58" s="61" t="s">
        <v>454</v>
      </c>
      <c r="C58" s="95">
        <v>23.880000000000003</v>
      </c>
      <c r="D58" s="94">
        <v>5.0</v>
      </c>
      <c r="E58" s="94">
        <v>5.0</v>
      </c>
      <c r="F58" s="94">
        <v>20.0</v>
      </c>
      <c r="G58" s="97">
        <v>6.00969951115E12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112" t="s">
        <v>455</v>
      </c>
      <c r="B59" s="61" t="s">
        <v>456</v>
      </c>
      <c r="C59" s="95">
        <v>10.84</v>
      </c>
      <c r="D59" s="94">
        <v>12.0</v>
      </c>
      <c r="E59" s="94">
        <v>12.0</v>
      </c>
      <c r="F59" s="94" t="s">
        <v>213</v>
      </c>
      <c r="G59" s="97">
        <v>6.009635835463E12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93"/>
      <c r="B60" s="61"/>
      <c r="C60" s="95"/>
      <c r="D60" s="94"/>
      <c r="E60" s="94"/>
      <c r="F60" s="94"/>
      <c r="G60" s="97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99"/>
      <c r="B61" s="101" t="s">
        <v>180</v>
      </c>
      <c r="C61" s="95"/>
      <c r="D61" s="94"/>
      <c r="E61" s="94"/>
      <c r="F61" s="94"/>
      <c r="G61" s="97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93" t="s">
        <v>457</v>
      </c>
      <c r="B62" s="61" t="s">
        <v>458</v>
      </c>
      <c r="C62" s="95">
        <v>50.989999999999995</v>
      </c>
      <c r="D62" s="94">
        <v>1.0</v>
      </c>
      <c r="E62" s="94">
        <v>25.0</v>
      </c>
      <c r="F62" s="94">
        <v>50.0</v>
      </c>
      <c r="G62" s="97">
        <v>6.009685854094E12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93" t="s">
        <v>459</v>
      </c>
      <c r="B63" s="61" t="s">
        <v>460</v>
      </c>
      <c r="C63" s="95">
        <v>70.93</v>
      </c>
      <c r="D63" s="94">
        <v>1.0</v>
      </c>
      <c r="E63" s="94">
        <v>25.0</v>
      </c>
      <c r="F63" s="94">
        <v>50.0</v>
      </c>
      <c r="G63" s="97">
        <v>6.009685854117E12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93" t="s">
        <v>461</v>
      </c>
      <c r="B64" s="61" t="s">
        <v>462</v>
      </c>
      <c r="C64" s="95">
        <v>59.26</v>
      </c>
      <c r="D64" s="94">
        <v>1.0</v>
      </c>
      <c r="E64" s="94">
        <v>25.0</v>
      </c>
      <c r="F64" s="94">
        <v>50.0</v>
      </c>
      <c r="G64" s="97">
        <v>6.009685853752E12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93" t="s">
        <v>463</v>
      </c>
      <c r="B65" s="61" t="s">
        <v>464</v>
      </c>
      <c r="C65" s="95">
        <v>45.64</v>
      </c>
      <c r="D65" s="94">
        <v>1.0</v>
      </c>
      <c r="E65" s="94">
        <v>25.0</v>
      </c>
      <c r="F65" s="94">
        <v>50.0</v>
      </c>
      <c r="G65" s="97">
        <v>6.009685853776E12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93" t="s">
        <v>465</v>
      </c>
      <c r="B66" s="61" t="s">
        <v>466</v>
      </c>
      <c r="C66" s="95">
        <v>47.7</v>
      </c>
      <c r="D66" s="94">
        <v>1.0</v>
      </c>
      <c r="E66" s="94">
        <v>25.0</v>
      </c>
      <c r="F66" s="94">
        <v>50.0</v>
      </c>
      <c r="G66" s="97">
        <v>6.00968585379E12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93" t="s">
        <v>467</v>
      </c>
      <c r="B67" s="61" t="s">
        <v>468</v>
      </c>
      <c r="C67" s="95">
        <v>46.07</v>
      </c>
      <c r="D67" s="94">
        <v>1.0</v>
      </c>
      <c r="E67" s="94">
        <v>25.0</v>
      </c>
      <c r="F67" s="94">
        <v>50.0</v>
      </c>
      <c r="G67" s="97">
        <v>6.009685853813E12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104"/>
      <c r="B68" s="105"/>
      <c r="C68" s="107"/>
      <c r="D68" s="106"/>
      <c r="E68" s="106"/>
      <c r="F68" s="106"/>
      <c r="G68" s="10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136"/>
      <c r="B69" s="137" t="s">
        <v>186</v>
      </c>
      <c r="C69" s="142"/>
      <c r="D69" s="139"/>
      <c r="E69" s="139"/>
      <c r="F69" s="139"/>
      <c r="G69" s="14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93" t="s">
        <v>469</v>
      </c>
      <c r="B70" s="61" t="s">
        <v>470</v>
      </c>
      <c r="C70" s="95">
        <v>14.78</v>
      </c>
      <c r="D70" s="94">
        <v>10.0</v>
      </c>
      <c r="E70" s="94" t="s">
        <v>213</v>
      </c>
      <c r="F70" s="94">
        <v>10.0</v>
      </c>
      <c r="G70" s="97">
        <v>6.009608641336E12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93"/>
      <c r="B71" s="61"/>
      <c r="C71" s="95"/>
      <c r="D71" s="94"/>
      <c r="E71" s="94"/>
      <c r="F71" s="94"/>
      <c r="G71" s="97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43"/>
      <c r="B72" s="101" t="s">
        <v>192</v>
      </c>
      <c r="C72" s="95"/>
      <c r="D72" s="94"/>
      <c r="E72" s="96"/>
      <c r="F72" s="96"/>
      <c r="G72" s="97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44" t="s">
        <v>471</v>
      </c>
      <c r="B73" s="61" t="s">
        <v>472</v>
      </c>
      <c r="C73" s="95">
        <v>5.66</v>
      </c>
      <c r="D73" s="94">
        <v>10.0</v>
      </c>
      <c r="E73" s="145">
        <v>10.0</v>
      </c>
      <c r="F73" s="145">
        <v>250.0</v>
      </c>
      <c r="G73" s="97">
        <v>6.009698061779E12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44" t="s">
        <v>473</v>
      </c>
      <c r="B74" s="61" t="s">
        <v>474</v>
      </c>
      <c r="C74" s="95">
        <v>15.23</v>
      </c>
      <c r="D74" s="94">
        <v>10.0</v>
      </c>
      <c r="E74" s="145">
        <v>10.0</v>
      </c>
      <c r="F74" s="145">
        <v>100.0</v>
      </c>
      <c r="G74" s="97">
        <v>6.009685856562E12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44" t="s">
        <v>475</v>
      </c>
      <c r="B75" s="61" t="s">
        <v>476</v>
      </c>
      <c r="C75" s="95">
        <v>14.62</v>
      </c>
      <c r="D75" s="94">
        <v>10.0</v>
      </c>
      <c r="E75" s="145">
        <v>10.0</v>
      </c>
      <c r="F75" s="145">
        <v>100.0</v>
      </c>
      <c r="G75" s="97">
        <v>6.009698061793E12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44" t="s">
        <v>477</v>
      </c>
      <c r="B76" s="61" t="s">
        <v>478</v>
      </c>
      <c r="C76" s="95">
        <v>6.819999999999999</v>
      </c>
      <c r="D76" s="94">
        <v>10.0</v>
      </c>
      <c r="E76" s="145">
        <v>10.0</v>
      </c>
      <c r="F76" s="145">
        <v>500.0</v>
      </c>
      <c r="G76" s="97">
        <v>6.009685856517E12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144" t="s">
        <v>479</v>
      </c>
      <c r="B77" s="61" t="s">
        <v>480</v>
      </c>
      <c r="C77" s="95">
        <v>30.8</v>
      </c>
      <c r="D77" s="94">
        <v>10.0</v>
      </c>
      <c r="E77" s="145">
        <v>10.0</v>
      </c>
      <c r="F77" s="145">
        <v>250.0</v>
      </c>
      <c r="G77" s="97">
        <v>6.009699514373E12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144" t="s">
        <v>481</v>
      </c>
      <c r="B78" s="61" t="s">
        <v>482</v>
      </c>
      <c r="C78" s="95">
        <v>8.16</v>
      </c>
      <c r="D78" s="94">
        <v>12.0</v>
      </c>
      <c r="E78" s="145">
        <v>12.0</v>
      </c>
      <c r="F78" s="145">
        <v>144.0</v>
      </c>
      <c r="G78" s="97">
        <v>6.009699514298E12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144" t="s">
        <v>483</v>
      </c>
      <c r="B79" s="61" t="s">
        <v>484</v>
      </c>
      <c r="C79" s="95">
        <v>8.97</v>
      </c>
      <c r="D79" s="94">
        <v>12.0</v>
      </c>
      <c r="E79" s="145">
        <v>12.0</v>
      </c>
      <c r="F79" s="145">
        <v>144.0</v>
      </c>
      <c r="G79" s="97">
        <v>6.009699514311E12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144" t="s">
        <v>485</v>
      </c>
      <c r="B80" s="61" t="s">
        <v>486</v>
      </c>
      <c r="C80" s="95">
        <v>10.09</v>
      </c>
      <c r="D80" s="94">
        <v>12.0</v>
      </c>
      <c r="E80" s="145">
        <v>12.0</v>
      </c>
      <c r="F80" s="145">
        <v>144.0</v>
      </c>
      <c r="G80" s="97">
        <v>6.009699514359E12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144" t="s">
        <v>487</v>
      </c>
      <c r="B81" s="61" t="s">
        <v>478</v>
      </c>
      <c r="C81" s="95">
        <v>9.77</v>
      </c>
      <c r="D81" s="94">
        <v>12.0</v>
      </c>
      <c r="E81" s="145">
        <v>12.0</v>
      </c>
      <c r="F81" s="145">
        <v>144.0</v>
      </c>
      <c r="G81" s="97">
        <v>6.009699514335E12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144"/>
      <c r="B82" s="61"/>
      <c r="C82" s="95"/>
      <c r="D82" s="94"/>
      <c r="E82" s="145"/>
      <c r="F82" s="145"/>
      <c r="G82" s="97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99"/>
      <c r="B83" s="101" t="s">
        <v>189</v>
      </c>
      <c r="C83" s="95"/>
      <c r="D83" s="94"/>
      <c r="E83" s="94"/>
      <c r="F83" s="94"/>
      <c r="G83" s="97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144" t="s">
        <v>488</v>
      </c>
      <c r="B84" s="61" t="s">
        <v>489</v>
      </c>
      <c r="C84" s="95">
        <v>6.75</v>
      </c>
      <c r="D84" s="94">
        <v>12.0</v>
      </c>
      <c r="E84" s="145">
        <v>12.0</v>
      </c>
      <c r="F84" s="145">
        <v>360.0</v>
      </c>
      <c r="G84" s="97">
        <v>6.009685856098E12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144" t="s">
        <v>490</v>
      </c>
      <c r="B85" s="61" t="s">
        <v>491</v>
      </c>
      <c r="C85" s="95">
        <v>6.95</v>
      </c>
      <c r="D85" s="94">
        <v>12.0</v>
      </c>
      <c r="E85" s="145">
        <v>12.0</v>
      </c>
      <c r="F85" s="145">
        <v>240.0</v>
      </c>
      <c r="G85" s="97">
        <v>6.009685856128E12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144" t="s">
        <v>492</v>
      </c>
      <c r="B86" s="61" t="s">
        <v>493</v>
      </c>
      <c r="C86" s="95">
        <v>12.28</v>
      </c>
      <c r="D86" s="94">
        <v>12.0</v>
      </c>
      <c r="E86" s="145">
        <v>12.0</v>
      </c>
      <c r="F86" s="145">
        <v>216.0</v>
      </c>
      <c r="G86" s="97">
        <v>6.009685856159E12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144" t="s">
        <v>494</v>
      </c>
      <c r="B87" s="61" t="s">
        <v>495</v>
      </c>
      <c r="C87" s="95">
        <v>16.540000000000003</v>
      </c>
      <c r="D87" s="94">
        <v>12.0</v>
      </c>
      <c r="E87" s="145">
        <v>12.0</v>
      </c>
      <c r="F87" s="145">
        <v>120.0</v>
      </c>
      <c r="G87" s="97">
        <v>6.00968585618E12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144" t="s">
        <v>496</v>
      </c>
      <c r="B88" s="61" t="s">
        <v>497</v>
      </c>
      <c r="C88" s="95">
        <v>29.830000000000002</v>
      </c>
      <c r="D88" s="94">
        <v>12.0</v>
      </c>
      <c r="E88" s="145" t="s">
        <v>213</v>
      </c>
      <c r="F88" s="145">
        <v>108.0</v>
      </c>
      <c r="G88" s="97">
        <v>6.009685856449E12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144" t="s">
        <v>498</v>
      </c>
      <c r="B89" s="61" t="s">
        <v>499</v>
      </c>
      <c r="C89" s="95">
        <v>42.19</v>
      </c>
      <c r="D89" s="94">
        <v>10.0</v>
      </c>
      <c r="E89" s="145" t="s">
        <v>213</v>
      </c>
      <c r="F89" s="145">
        <v>50.0</v>
      </c>
      <c r="G89" s="97">
        <v>6.009685856463E12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144" t="s">
        <v>500</v>
      </c>
      <c r="B90" s="61" t="s">
        <v>501</v>
      </c>
      <c r="C90" s="95">
        <v>11.64</v>
      </c>
      <c r="D90" s="94">
        <v>12.0</v>
      </c>
      <c r="E90" s="145">
        <v>12.0</v>
      </c>
      <c r="F90" s="145">
        <v>144.0</v>
      </c>
      <c r="G90" s="97">
        <v>6.009685856487E12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144" t="s">
        <v>502</v>
      </c>
      <c r="B91" s="61" t="s">
        <v>503</v>
      </c>
      <c r="C91" s="95">
        <v>11.14</v>
      </c>
      <c r="D91" s="94">
        <v>12.0</v>
      </c>
      <c r="E91" s="145">
        <v>12.0</v>
      </c>
      <c r="F91" s="145">
        <v>144.0</v>
      </c>
      <c r="G91" s="97">
        <v>6.00968585621E12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99"/>
      <c r="B92" s="61"/>
      <c r="C92" s="95"/>
      <c r="D92" s="94"/>
      <c r="E92" s="94"/>
      <c r="F92" s="94"/>
      <c r="G92" s="97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99"/>
      <c r="B93" s="101" t="s">
        <v>504</v>
      </c>
      <c r="C93" s="95"/>
      <c r="D93" s="94"/>
      <c r="E93" s="94"/>
      <c r="F93" s="94"/>
      <c r="G93" s="97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93" t="s">
        <v>505</v>
      </c>
      <c r="B94" s="61" t="s">
        <v>506</v>
      </c>
      <c r="C94" s="95">
        <v>6.3</v>
      </c>
      <c r="D94" s="94">
        <v>24.0</v>
      </c>
      <c r="E94" s="94">
        <v>24.0</v>
      </c>
      <c r="F94" s="94">
        <v>576.0</v>
      </c>
      <c r="G94" s="97">
        <v>6.009635840757E12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93" t="s">
        <v>507</v>
      </c>
      <c r="B95" s="61" t="s">
        <v>508</v>
      </c>
      <c r="C95" s="95">
        <v>10.52</v>
      </c>
      <c r="D95" s="94">
        <v>12.0</v>
      </c>
      <c r="E95" s="94">
        <v>12.0</v>
      </c>
      <c r="F95" s="94">
        <v>144.0</v>
      </c>
      <c r="G95" s="97">
        <v>6.009608648571E12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93" t="s">
        <v>509</v>
      </c>
      <c r="B96" s="61" t="s">
        <v>510</v>
      </c>
      <c r="C96" s="95">
        <v>24.630000000000003</v>
      </c>
      <c r="D96" s="94">
        <v>12.0</v>
      </c>
      <c r="E96" s="94">
        <v>12.0</v>
      </c>
      <c r="F96" s="94">
        <v>120.0</v>
      </c>
      <c r="G96" s="97">
        <v>6.009608648588E12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93" t="s">
        <v>511</v>
      </c>
      <c r="B97" s="61" t="s">
        <v>512</v>
      </c>
      <c r="C97" s="95">
        <v>13.85</v>
      </c>
      <c r="D97" s="94">
        <v>12.0</v>
      </c>
      <c r="E97" s="94">
        <v>12.0</v>
      </c>
      <c r="F97" s="94">
        <v>288.0</v>
      </c>
      <c r="G97" s="97">
        <v>6.009685850072E12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93" t="s">
        <v>513</v>
      </c>
      <c r="B98" s="61" t="s">
        <v>514</v>
      </c>
      <c r="C98" s="95">
        <v>5.75</v>
      </c>
      <c r="D98" s="94">
        <v>12.0</v>
      </c>
      <c r="E98" s="94">
        <v>12.0</v>
      </c>
      <c r="F98" s="94">
        <v>600.0</v>
      </c>
      <c r="G98" s="97">
        <v>6.009608642418E12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93" t="s">
        <v>515</v>
      </c>
      <c r="B99" s="61" t="s">
        <v>516</v>
      </c>
      <c r="C99" s="95">
        <v>9.24</v>
      </c>
      <c r="D99" s="94">
        <v>12.0</v>
      </c>
      <c r="E99" s="94">
        <v>12.0</v>
      </c>
      <c r="F99" s="94">
        <v>240.0</v>
      </c>
      <c r="G99" s="97">
        <v>6.009608642432E12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93" t="s">
        <v>517</v>
      </c>
      <c r="B100" s="61" t="s">
        <v>518</v>
      </c>
      <c r="C100" s="95">
        <v>21.23</v>
      </c>
      <c r="D100" s="94">
        <v>6.0</v>
      </c>
      <c r="E100" s="94">
        <v>6.0</v>
      </c>
      <c r="F100" s="94">
        <v>120.0</v>
      </c>
      <c r="G100" s="97">
        <v>6.009685850171E12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93" t="s">
        <v>519</v>
      </c>
      <c r="B101" s="61" t="s">
        <v>520</v>
      </c>
      <c r="C101" s="95">
        <v>31.270000000000003</v>
      </c>
      <c r="D101" s="94">
        <v>12.0</v>
      </c>
      <c r="E101" s="94">
        <v>12.0</v>
      </c>
      <c r="F101" s="94">
        <v>120.0</v>
      </c>
      <c r="G101" s="97">
        <v>6.009608649981E12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93" t="s">
        <v>521</v>
      </c>
      <c r="B102" s="61" t="s">
        <v>522</v>
      </c>
      <c r="C102" s="95">
        <v>24.35</v>
      </c>
      <c r="D102" s="94">
        <v>12.0</v>
      </c>
      <c r="E102" s="94">
        <v>12.0</v>
      </c>
      <c r="F102" s="94">
        <v>120.0</v>
      </c>
      <c r="G102" s="97">
        <v>6.009697790229E12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93"/>
      <c r="B103" s="61"/>
      <c r="C103" s="95"/>
      <c r="D103" s="94"/>
      <c r="E103" s="94"/>
      <c r="F103" s="94"/>
      <c r="G103" s="97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99"/>
      <c r="B104" s="101" t="s">
        <v>95</v>
      </c>
      <c r="C104" s="95"/>
      <c r="D104" s="94"/>
      <c r="E104" s="94"/>
      <c r="F104" s="94"/>
      <c r="G104" s="97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93" t="s">
        <v>523</v>
      </c>
      <c r="B105" s="61" t="s">
        <v>524</v>
      </c>
      <c r="C105" s="95">
        <v>4.9399999999999995</v>
      </c>
      <c r="D105" s="94">
        <v>10.0</v>
      </c>
      <c r="E105" s="94">
        <v>10.0</v>
      </c>
      <c r="F105" s="94">
        <v>100.0</v>
      </c>
      <c r="G105" s="97">
        <v>6.009608645006E12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93" t="s">
        <v>525</v>
      </c>
      <c r="B106" s="61" t="s">
        <v>526</v>
      </c>
      <c r="C106" s="95">
        <v>7.47</v>
      </c>
      <c r="D106" s="94">
        <v>10.0</v>
      </c>
      <c r="E106" s="94">
        <v>10.0</v>
      </c>
      <c r="F106" s="94">
        <v>100.0</v>
      </c>
      <c r="G106" s="97">
        <v>6.009685851116E12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93" t="s">
        <v>527</v>
      </c>
      <c r="B107" s="61" t="s">
        <v>528</v>
      </c>
      <c r="C107" s="95">
        <v>7.47</v>
      </c>
      <c r="D107" s="94">
        <v>10.0</v>
      </c>
      <c r="E107" s="94">
        <v>10.0</v>
      </c>
      <c r="F107" s="94">
        <v>100.0</v>
      </c>
      <c r="G107" s="97">
        <v>6.009608645013E12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93" t="s">
        <v>529</v>
      </c>
      <c r="B108" s="61" t="s">
        <v>530</v>
      </c>
      <c r="C108" s="95">
        <v>11.79</v>
      </c>
      <c r="D108" s="94">
        <v>10.0</v>
      </c>
      <c r="E108" s="94">
        <v>10.0</v>
      </c>
      <c r="F108" s="94">
        <v>40.0</v>
      </c>
      <c r="G108" s="97">
        <v>6.00960864502E12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93" t="s">
        <v>531</v>
      </c>
      <c r="B109" s="61" t="s">
        <v>532</v>
      </c>
      <c r="C109" s="95">
        <v>11.79</v>
      </c>
      <c r="D109" s="94">
        <v>10.0</v>
      </c>
      <c r="E109" s="94">
        <v>10.0</v>
      </c>
      <c r="F109" s="94">
        <v>40.0</v>
      </c>
      <c r="G109" s="97">
        <v>6.00960864586E12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93" t="s">
        <v>533</v>
      </c>
      <c r="B110" s="61" t="s">
        <v>534</v>
      </c>
      <c r="C110" s="95">
        <v>14.07</v>
      </c>
      <c r="D110" s="94">
        <v>10.0</v>
      </c>
      <c r="E110" s="94">
        <v>10.0</v>
      </c>
      <c r="F110" s="94">
        <v>40.0</v>
      </c>
      <c r="G110" s="97">
        <v>6.009608645037E12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93" t="s">
        <v>535</v>
      </c>
      <c r="B111" s="61" t="s">
        <v>536</v>
      </c>
      <c r="C111" s="95">
        <v>15.87</v>
      </c>
      <c r="D111" s="94">
        <v>5.0</v>
      </c>
      <c r="E111" s="94">
        <v>5.0</v>
      </c>
      <c r="F111" s="94">
        <v>40.0</v>
      </c>
      <c r="G111" s="97">
        <v>6.009608645044E12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93" t="s">
        <v>537</v>
      </c>
      <c r="B112" s="61" t="s">
        <v>538</v>
      </c>
      <c r="C112" s="95">
        <v>26.3</v>
      </c>
      <c r="D112" s="94">
        <v>5.0</v>
      </c>
      <c r="E112" s="94">
        <v>5.0</v>
      </c>
      <c r="F112" s="94">
        <v>20.0</v>
      </c>
      <c r="G112" s="97">
        <v>6.009608645068E12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93" t="s">
        <v>539</v>
      </c>
      <c r="B113" s="61" t="s">
        <v>540</v>
      </c>
      <c r="C113" s="95">
        <v>24.270000000000003</v>
      </c>
      <c r="D113" s="94">
        <v>5.0</v>
      </c>
      <c r="E113" s="94">
        <v>5.0</v>
      </c>
      <c r="F113" s="94">
        <v>20.0</v>
      </c>
      <c r="G113" s="97">
        <v>6.009608645051E12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93" t="s">
        <v>541</v>
      </c>
      <c r="B114" s="61" t="s">
        <v>542</v>
      </c>
      <c r="C114" s="95">
        <v>24.270000000000003</v>
      </c>
      <c r="D114" s="94">
        <v>5.0</v>
      </c>
      <c r="E114" s="94">
        <v>5.0</v>
      </c>
      <c r="F114" s="94">
        <v>20.0</v>
      </c>
      <c r="G114" s="97">
        <v>6.009697790007E12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45" t="s">
        <v>543</v>
      </c>
      <c r="B115" s="59" t="s">
        <v>544</v>
      </c>
      <c r="C115" s="95">
        <v>10.95</v>
      </c>
      <c r="D115" s="94">
        <v>10.0</v>
      </c>
      <c r="E115" s="145">
        <v>10.0</v>
      </c>
      <c r="F115" s="145">
        <v>100.0</v>
      </c>
      <c r="G115" s="146" t="s">
        <v>545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99"/>
      <c r="B116" s="61"/>
      <c r="C116" s="95"/>
      <c r="D116" s="94"/>
      <c r="E116" s="94"/>
      <c r="F116" s="94"/>
      <c r="G116" s="97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99"/>
      <c r="B117" s="101" t="s">
        <v>101</v>
      </c>
      <c r="C117" s="95"/>
      <c r="D117" s="94"/>
      <c r="E117" s="94"/>
      <c r="F117" s="94"/>
      <c r="G117" s="97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93" t="s">
        <v>546</v>
      </c>
      <c r="B118" s="61" t="s">
        <v>547</v>
      </c>
      <c r="C118" s="95">
        <v>130.9</v>
      </c>
      <c r="D118" s="94">
        <v>1.0</v>
      </c>
      <c r="E118" s="94" t="s">
        <v>213</v>
      </c>
      <c r="F118" s="94">
        <v>48.0</v>
      </c>
      <c r="G118" s="97">
        <v>6.009685854377E12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93" t="s">
        <v>548</v>
      </c>
      <c r="B119" s="61" t="s">
        <v>549</v>
      </c>
      <c r="C119" s="95">
        <v>90.29</v>
      </c>
      <c r="D119" s="94">
        <v>1.0</v>
      </c>
      <c r="E119" s="94" t="s">
        <v>213</v>
      </c>
      <c r="F119" s="94">
        <v>48.0</v>
      </c>
      <c r="G119" s="97">
        <v>6.009685854322E12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93" t="s">
        <v>550</v>
      </c>
      <c r="B120" s="61" t="s">
        <v>551</v>
      </c>
      <c r="C120" s="95">
        <v>14.04</v>
      </c>
      <c r="D120" s="94">
        <v>12.0</v>
      </c>
      <c r="E120" s="94">
        <v>12.0</v>
      </c>
      <c r="F120" s="94">
        <v>288.0</v>
      </c>
      <c r="G120" s="97">
        <v>6.009685854391E12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93" t="s">
        <v>552</v>
      </c>
      <c r="B121" s="61" t="s">
        <v>553</v>
      </c>
      <c r="C121" s="95">
        <v>10.62</v>
      </c>
      <c r="D121" s="94">
        <v>12.0</v>
      </c>
      <c r="E121" s="94">
        <v>12.0</v>
      </c>
      <c r="F121" s="94">
        <v>288.0</v>
      </c>
      <c r="G121" s="97">
        <v>6.009685854346E12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93" t="s">
        <v>554</v>
      </c>
      <c r="B122" s="61" t="s">
        <v>555</v>
      </c>
      <c r="C122" s="95">
        <v>16.8</v>
      </c>
      <c r="D122" s="94">
        <v>12.0</v>
      </c>
      <c r="E122" s="94">
        <v>12.0</v>
      </c>
      <c r="F122" s="94">
        <v>144.0</v>
      </c>
      <c r="G122" s="97">
        <v>6.009685856654E12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99"/>
      <c r="B123" s="61"/>
      <c r="C123" s="95"/>
      <c r="D123" s="94"/>
      <c r="E123" s="94"/>
      <c r="F123" s="94"/>
      <c r="G123" s="97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99"/>
      <c r="B124" s="101" t="s">
        <v>104</v>
      </c>
      <c r="C124" s="95"/>
      <c r="D124" s="94"/>
      <c r="E124" s="94"/>
      <c r="F124" s="94"/>
      <c r="G124" s="97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93" t="s">
        <v>556</v>
      </c>
      <c r="B125" s="61" t="s">
        <v>557</v>
      </c>
      <c r="C125" s="95">
        <v>29.950000000000003</v>
      </c>
      <c r="D125" s="94">
        <v>12.0</v>
      </c>
      <c r="E125" s="94">
        <v>12.0</v>
      </c>
      <c r="F125" s="94">
        <v>144.0</v>
      </c>
      <c r="G125" s="97">
        <v>6.00968585692E12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99"/>
      <c r="B126" s="61"/>
      <c r="C126" s="116"/>
      <c r="D126" s="94"/>
      <c r="E126" s="94"/>
      <c r="F126" s="94"/>
      <c r="G126" s="147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93"/>
      <c r="B127" s="61"/>
      <c r="C127" s="95"/>
      <c r="D127" s="94"/>
      <c r="E127" s="94"/>
      <c r="F127" s="94"/>
      <c r="G127" s="97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104"/>
      <c r="B128" s="105"/>
      <c r="C128" s="107"/>
      <c r="D128" s="106"/>
      <c r="E128" s="106"/>
      <c r="F128" s="106"/>
      <c r="G128" s="10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110"/>
      <c r="B129" s="88" t="s">
        <v>558</v>
      </c>
      <c r="C129" s="111"/>
      <c r="D129" s="89"/>
      <c r="E129" s="89"/>
      <c r="F129" s="89"/>
      <c r="G129" s="92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93" t="s">
        <v>559</v>
      </c>
      <c r="B130" s="61" t="s">
        <v>560</v>
      </c>
      <c r="C130" s="95">
        <v>6.6499999999999995</v>
      </c>
      <c r="D130" s="94">
        <v>12.0</v>
      </c>
      <c r="E130" s="94">
        <v>12.0</v>
      </c>
      <c r="F130" s="94">
        <v>144.0</v>
      </c>
      <c r="G130" s="97">
        <v>6.009608641138E12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93" t="s">
        <v>561</v>
      </c>
      <c r="B131" s="61" t="s">
        <v>562</v>
      </c>
      <c r="C131" s="95">
        <v>13.27</v>
      </c>
      <c r="D131" s="94">
        <v>12.0</v>
      </c>
      <c r="E131" s="94">
        <v>12.0</v>
      </c>
      <c r="F131" s="94">
        <v>144.0</v>
      </c>
      <c r="G131" s="97">
        <v>6.009608641206E12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93" t="s">
        <v>563</v>
      </c>
      <c r="B132" s="61" t="s">
        <v>564</v>
      </c>
      <c r="C132" s="95">
        <v>15.69</v>
      </c>
      <c r="D132" s="94">
        <v>12.0</v>
      </c>
      <c r="E132" s="94">
        <v>12.0</v>
      </c>
      <c r="F132" s="94">
        <v>72.0</v>
      </c>
      <c r="G132" s="97">
        <v>6.009608641329E12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93" t="s">
        <v>565</v>
      </c>
      <c r="B133" s="61" t="s">
        <v>566</v>
      </c>
      <c r="C133" s="95">
        <v>19.6</v>
      </c>
      <c r="D133" s="94">
        <v>12.0</v>
      </c>
      <c r="E133" s="94">
        <v>12.0</v>
      </c>
      <c r="F133" s="94">
        <v>72.0</v>
      </c>
      <c r="G133" s="97">
        <v>6.009699513277E12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93" t="s">
        <v>567</v>
      </c>
      <c r="B134" s="61" t="s">
        <v>568</v>
      </c>
      <c r="C134" s="95">
        <v>6.069999999999999</v>
      </c>
      <c r="D134" s="94">
        <v>12.0</v>
      </c>
      <c r="E134" s="94">
        <v>12.0</v>
      </c>
      <c r="F134" s="94">
        <v>144.0</v>
      </c>
      <c r="G134" s="97">
        <v>6.00963584256E12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93" t="s">
        <v>569</v>
      </c>
      <c r="B135" s="61" t="s">
        <v>570</v>
      </c>
      <c r="C135" s="95">
        <v>12.2</v>
      </c>
      <c r="D135" s="94">
        <v>12.0</v>
      </c>
      <c r="E135" s="94">
        <v>12.0</v>
      </c>
      <c r="F135" s="94">
        <v>144.0</v>
      </c>
      <c r="G135" s="97">
        <v>6.009635842591E12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93"/>
      <c r="B136" s="61"/>
      <c r="C136" s="95"/>
      <c r="D136" s="94"/>
      <c r="E136" s="94"/>
      <c r="F136" s="94"/>
      <c r="G136" s="97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99"/>
      <c r="B137" s="101" t="s">
        <v>110</v>
      </c>
      <c r="C137" s="95"/>
      <c r="D137" s="94"/>
      <c r="E137" s="94"/>
      <c r="F137" s="94"/>
      <c r="G137" s="97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93" t="s">
        <v>571</v>
      </c>
      <c r="B138" s="61" t="s">
        <v>572</v>
      </c>
      <c r="C138" s="95">
        <v>15.95</v>
      </c>
      <c r="D138" s="94">
        <v>12.0</v>
      </c>
      <c r="E138" s="94" t="s">
        <v>213</v>
      </c>
      <c r="F138" s="94">
        <v>36.0</v>
      </c>
      <c r="G138" s="97">
        <v>6.009685857088E12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93" t="s">
        <v>573</v>
      </c>
      <c r="B139" s="61" t="s">
        <v>574</v>
      </c>
      <c r="C139" s="95">
        <v>28.48</v>
      </c>
      <c r="D139" s="94">
        <v>12.0</v>
      </c>
      <c r="E139" s="94" t="s">
        <v>213</v>
      </c>
      <c r="F139" s="94">
        <v>36.0</v>
      </c>
      <c r="G139" s="97">
        <v>6.009697790069E12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93" t="s">
        <v>575</v>
      </c>
      <c r="B140" s="61" t="s">
        <v>576</v>
      </c>
      <c r="C140" s="95">
        <v>30.17</v>
      </c>
      <c r="D140" s="94">
        <v>12.0</v>
      </c>
      <c r="E140" s="94" t="s">
        <v>213</v>
      </c>
      <c r="F140" s="94">
        <v>36.0</v>
      </c>
      <c r="G140" s="97">
        <v>6.009697790076E12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93"/>
      <c r="B141" s="61"/>
      <c r="C141" s="95"/>
      <c r="D141" s="94"/>
      <c r="E141" s="94"/>
      <c r="F141" s="94"/>
      <c r="G141" s="97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99"/>
      <c r="B142" s="101" t="s">
        <v>113</v>
      </c>
      <c r="C142" s="95"/>
      <c r="D142" s="94"/>
      <c r="E142" s="94"/>
      <c r="F142" s="94"/>
      <c r="G142" s="97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93" t="s">
        <v>577</v>
      </c>
      <c r="B143" s="61" t="s">
        <v>578</v>
      </c>
      <c r="C143" s="95">
        <v>46.03</v>
      </c>
      <c r="D143" s="94">
        <v>6.0</v>
      </c>
      <c r="E143" s="94">
        <v>6.0</v>
      </c>
      <c r="F143" s="94">
        <v>36.0</v>
      </c>
      <c r="G143" s="97">
        <v>9.780710503015E12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93" t="s">
        <v>579</v>
      </c>
      <c r="B144" s="61" t="s">
        <v>580</v>
      </c>
      <c r="C144" s="95">
        <v>60.589999999999996</v>
      </c>
      <c r="D144" s="94">
        <v>6.0</v>
      </c>
      <c r="E144" s="94">
        <v>6.0</v>
      </c>
      <c r="F144" s="94">
        <v>36.0</v>
      </c>
      <c r="G144" s="97">
        <v>9.781842058527E12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93" t="s">
        <v>581</v>
      </c>
      <c r="B145" s="61" t="s">
        <v>582</v>
      </c>
      <c r="C145" s="95">
        <v>105.12</v>
      </c>
      <c r="D145" s="94">
        <v>5.0</v>
      </c>
      <c r="E145" s="94">
        <v>5.0</v>
      </c>
      <c r="F145" s="94">
        <v>60.0</v>
      </c>
      <c r="G145" s="97">
        <v>6.009608644016E12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93" t="s">
        <v>583</v>
      </c>
      <c r="B146" s="61" t="s">
        <v>584</v>
      </c>
      <c r="C146" s="95">
        <v>11.69</v>
      </c>
      <c r="D146" s="94">
        <v>12.0</v>
      </c>
      <c r="E146" s="94">
        <v>12.0</v>
      </c>
      <c r="F146" s="94">
        <v>144.0</v>
      </c>
      <c r="G146" s="97">
        <v>6.009685851017E12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99"/>
      <c r="B147" s="61"/>
      <c r="C147" s="116"/>
      <c r="D147" s="94"/>
      <c r="E147" s="94"/>
      <c r="F147" s="94"/>
      <c r="G147" s="97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99"/>
      <c r="B148" s="101" t="s">
        <v>89</v>
      </c>
      <c r="C148" s="95"/>
      <c r="D148" s="94"/>
      <c r="E148" s="94"/>
      <c r="F148" s="94"/>
      <c r="G148" s="97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93" t="s">
        <v>585</v>
      </c>
      <c r="B149" s="61" t="s">
        <v>586</v>
      </c>
      <c r="C149" s="95">
        <v>57.29</v>
      </c>
      <c r="D149" s="94">
        <v>6.0</v>
      </c>
      <c r="E149" s="94">
        <v>6.0</v>
      </c>
      <c r="F149" s="94">
        <v>72.0</v>
      </c>
      <c r="G149" s="97">
        <v>6.009608648694E12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93" t="s">
        <v>587</v>
      </c>
      <c r="B150" s="61" t="s">
        <v>588</v>
      </c>
      <c r="C150" s="95">
        <v>32.6</v>
      </c>
      <c r="D150" s="94">
        <v>5.0</v>
      </c>
      <c r="E150" s="94">
        <v>5.0</v>
      </c>
      <c r="F150" s="94">
        <v>50.0</v>
      </c>
      <c r="G150" s="148">
        <v>6.009801541556E12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93" t="s">
        <v>589</v>
      </c>
      <c r="B151" s="61" t="s">
        <v>590</v>
      </c>
      <c r="C151" s="95">
        <v>13.98</v>
      </c>
      <c r="D151" s="94">
        <v>12.0</v>
      </c>
      <c r="E151" s="94">
        <v>12.0</v>
      </c>
      <c r="F151" s="94">
        <v>120.0</v>
      </c>
      <c r="G151" s="97">
        <v>6.009608644061E12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93" t="s">
        <v>591</v>
      </c>
      <c r="B152" s="61" t="s">
        <v>592</v>
      </c>
      <c r="C152" s="95">
        <v>15.83</v>
      </c>
      <c r="D152" s="94">
        <v>10.0</v>
      </c>
      <c r="E152" s="94">
        <v>10.0</v>
      </c>
      <c r="F152" s="94">
        <v>100.0</v>
      </c>
      <c r="G152" s="97">
        <v>6.009697790809E12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99"/>
      <c r="B153" s="61"/>
      <c r="C153" s="95"/>
      <c r="D153" s="94"/>
      <c r="E153" s="94"/>
      <c r="F153" s="94"/>
      <c r="G153" s="97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93" t="s">
        <v>593</v>
      </c>
      <c r="B154" s="101" t="s">
        <v>133</v>
      </c>
      <c r="C154" s="95"/>
      <c r="D154" s="94"/>
      <c r="E154" s="94"/>
      <c r="F154" s="94"/>
      <c r="G154" s="97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93" t="s">
        <v>594</v>
      </c>
      <c r="B155" s="61" t="s">
        <v>595</v>
      </c>
      <c r="C155" s="95">
        <v>27.78</v>
      </c>
      <c r="D155" s="94">
        <v>1.0</v>
      </c>
      <c r="E155" s="94" t="s">
        <v>213</v>
      </c>
      <c r="F155" s="94">
        <v>50.0</v>
      </c>
      <c r="G155" s="97">
        <v>6.009608643538E12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93" t="s">
        <v>596</v>
      </c>
      <c r="B156" s="61" t="s">
        <v>597</v>
      </c>
      <c r="C156" s="95">
        <v>21.32</v>
      </c>
      <c r="D156" s="94">
        <v>1.0</v>
      </c>
      <c r="E156" s="94" t="s">
        <v>213</v>
      </c>
      <c r="F156" s="94">
        <v>50.0</v>
      </c>
      <c r="G156" s="97">
        <v>6.009608643521E12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93" t="s">
        <v>598</v>
      </c>
      <c r="B157" s="61" t="s">
        <v>599</v>
      </c>
      <c r="C157" s="95">
        <v>0.92</v>
      </c>
      <c r="D157" s="94">
        <v>50.0</v>
      </c>
      <c r="E157" s="94">
        <v>50.0</v>
      </c>
      <c r="F157" s="94">
        <v>1200.0</v>
      </c>
      <c r="G157" s="97">
        <v>6.00960864432E12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93" t="s">
        <v>600</v>
      </c>
      <c r="B158" s="61" t="s">
        <v>601</v>
      </c>
      <c r="C158" s="95">
        <v>3.5</v>
      </c>
      <c r="D158" s="94">
        <v>24.0</v>
      </c>
      <c r="E158" s="94">
        <v>24.0</v>
      </c>
      <c r="F158" s="94">
        <v>288.0</v>
      </c>
      <c r="G158" s="97">
        <v>6.009608640964E12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93" t="s">
        <v>602</v>
      </c>
      <c r="B159" s="61" t="s">
        <v>603</v>
      </c>
      <c r="C159" s="95">
        <v>5.84</v>
      </c>
      <c r="D159" s="94">
        <v>24.0</v>
      </c>
      <c r="E159" s="94">
        <v>24.0</v>
      </c>
      <c r="F159" s="94">
        <v>288.0</v>
      </c>
      <c r="G159" s="97">
        <v>6.00960864809E12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93" t="s">
        <v>604</v>
      </c>
      <c r="B160" s="61" t="s">
        <v>605</v>
      </c>
      <c r="C160" s="95">
        <v>6.0</v>
      </c>
      <c r="D160" s="94">
        <v>24.0</v>
      </c>
      <c r="E160" s="94">
        <v>24.0</v>
      </c>
      <c r="F160" s="94">
        <v>288.0</v>
      </c>
      <c r="G160" s="97">
        <v>6.009608648106E12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93" t="s">
        <v>606</v>
      </c>
      <c r="B161" s="61" t="s">
        <v>607</v>
      </c>
      <c r="C161" s="95">
        <v>10.49</v>
      </c>
      <c r="D161" s="94">
        <v>12.0</v>
      </c>
      <c r="E161" s="94">
        <v>12.0</v>
      </c>
      <c r="F161" s="94">
        <v>144.0</v>
      </c>
      <c r="G161" s="97">
        <v>6.009699511648E12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93" t="s">
        <v>608</v>
      </c>
      <c r="B162" s="61" t="s">
        <v>609</v>
      </c>
      <c r="C162" s="95">
        <v>7.45</v>
      </c>
      <c r="D162" s="94">
        <v>12.0</v>
      </c>
      <c r="E162" s="94">
        <v>12.0</v>
      </c>
      <c r="F162" s="94">
        <v>480.0</v>
      </c>
      <c r="G162" s="97">
        <v>6.00960864007E12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93" t="s">
        <v>610</v>
      </c>
      <c r="B163" s="61" t="s">
        <v>611</v>
      </c>
      <c r="C163" s="95">
        <v>19.23</v>
      </c>
      <c r="D163" s="94">
        <v>12.0</v>
      </c>
      <c r="E163" s="94">
        <v>12.0</v>
      </c>
      <c r="F163" s="94">
        <v>144.0</v>
      </c>
      <c r="G163" s="97">
        <v>6.009699518869E12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93" t="s">
        <v>612</v>
      </c>
      <c r="B164" s="61" t="s">
        <v>613</v>
      </c>
      <c r="C164" s="95">
        <v>10.879999999999999</v>
      </c>
      <c r="D164" s="94">
        <v>24.0</v>
      </c>
      <c r="E164" s="94">
        <v>24.0</v>
      </c>
      <c r="F164" s="94">
        <v>144.0</v>
      </c>
      <c r="G164" s="97">
        <v>6.009608647185E12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93" t="s">
        <v>614</v>
      </c>
      <c r="B165" s="61" t="s">
        <v>615</v>
      </c>
      <c r="C165" s="95">
        <v>10.879999999999999</v>
      </c>
      <c r="D165" s="94">
        <v>24.0</v>
      </c>
      <c r="E165" s="94">
        <v>24.0</v>
      </c>
      <c r="F165" s="94">
        <v>144.0</v>
      </c>
      <c r="G165" s="97">
        <v>6.009608647208E12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45" t="s">
        <v>616</v>
      </c>
      <c r="B166" s="59" t="s">
        <v>617</v>
      </c>
      <c r="C166" s="95">
        <v>12.459999999999999</v>
      </c>
      <c r="D166" s="94">
        <v>12.0</v>
      </c>
      <c r="E166" s="145">
        <v>12.0</v>
      </c>
      <c r="F166" s="145">
        <v>288.0</v>
      </c>
      <c r="G166" s="146" t="s">
        <v>618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45" t="s">
        <v>619</v>
      </c>
      <c r="B167" s="59" t="s">
        <v>620</v>
      </c>
      <c r="C167" s="95">
        <v>11.85</v>
      </c>
      <c r="D167" s="94">
        <v>12.0</v>
      </c>
      <c r="E167" s="145">
        <v>12.0</v>
      </c>
      <c r="F167" s="145">
        <v>288.0</v>
      </c>
      <c r="G167" s="146" t="s">
        <v>621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45" t="s">
        <v>622</v>
      </c>
      <c r="B168" s="59" t="s">
        <v>623</v>
      </c>
      <c r="C168" s="95">
        <v>14.82</v>
      </c>
      <c r="D168" s="94">
        <v>12.0</v>
      </c>
      <c r="E168" s="145">
        <v>12.0</v>
      </c>
      <c r="F168" s="145">
        <v>288.0</v>
      </c>
      <c r="G168" s="146" t="s">
        <v>624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93"/>
      <c r="B169" s="61"/>
      <c r="C169" s="95"/>
      <c r="D169" s="94"/>
      <c r="E169" s="94"/>
      <c r="F169" s="94"/>
      <c r="G169" s="97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99"/>
      <c r="B170" s="101" t="s">
        <v>142</v>
      </c>
      <c r="C170" s="95"/>
      <c r="D170" s="94"/>
      <c r="E170" s="94"/>
      <c r="F170" s="94"/>
      <c r="G170" s="97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93" t="s">
        <v>625</v>
      </c>
      <c r="B171" s="61" t="s">
        <v>626</v>
      </c>
      <c r="C171" s="95">
        <v>11.03</v>
      </c>
      <c r="D171" s="94">
        <v>12.0</v>
      </c>
      <c r="E171" s="94">
        <v>12.0</v>
      </c>
      <c r="F171" s="94">
        <v>144.0</v>
      </c>
      <c r="G171" s="97">
        <v>6.009608641039E12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93" t="s">
        <v>627</v>
      </c>
      <c r="B172" s="61" t="s">
        <v>628</v>
      </c>
      <c r="C172" s="95">
        <v>22.85</v>
      </c>
      <c r="D172" s="94">
        <v>12.0</v>
      </c>
      <c r="E172" s="94">
        <v>12.0</v>
      </c>
      <c r="F172" s="94">
        <v>96.0</v>
      </c>
      <c r="G172" s="97">
        <v>6.009608641046E12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93" t="s">
        <v>629</v>
      </c>
      <c r="B173" s="61" t="s">
        <v>630</v>
      </c>
      <c r="C173" s="95">
        <v>21.34</v>
      </c>
      <c r="D173" s="94">
        <v>12.0</v>
      </c>
      <c r="E173" s="94">
        <v>12.0</v>
      </c>
      <c r="F173" s="94">
        <v>144.0</v>
      </c>
      <c r="G173" s="97">
        <v>6.00960864289E12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99"/>
      <c r="B174" s="61"/>
      <c r="C174" s="95"/>
      <c r="D174" s="94"/>
      <c r="E174" s="94"/>
      <c r="F174" s="94"/>
      <c r="G174" s="97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99"/>
      <c r="B175" s="101" t="s">
        <v>631</v>
      </c>
      <c r="C175" s="95"/>
      <c r="D175" s="94"/>
      <c r="E175" s="94"/>
      <c r="F175" s="94"/>
      <c r="G175" s="97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93" t="s">
        <v>632</v>
      </c>
      <c r="B176" s="61" t="s">
        <v>633</v>
      </c>
      <c r="C176" s="95">
        <v>29.560000000000002</v>
      </c>
      <c r="D176" s="94">
        <v>5.0</v>
      </c>
      <c r="E176" s="96" t="s">
        <v>213</v>
      </c>
      <c r="F176" s="96" t="s">
        <v>213</v>
      </c>
      <c r="G176" s="97">
        <v>6.00969951342E12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93" t="s">
        <v>634</v>
      </c>
      <c r="B177" s="61" t="s">
        <v>635</v>
      </c>
      <c r="C177" s="95">
        <v>38.169999999999995</v>
      </c>
      <c r="D177" s="94">
        <v>5.0</v>
      </c>
      <c r="E177" s="96" t="s">
        <v>213</v>
      </c>
      <c r="F177" s="96" t="s">
        <v>213</v>
      </c>
      <c r="G177" s="97">
        <v>6.009685853301E12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93" t="s">
        <v>636</v>
      </c>
      <c r="B178" s="61" t="s">
        <v>637</v>
      </c>
      <c r="C178" s="95">
        <v>46.66</v>
      </c>
      <c r="D178" s="94">
        <v>5.0</v>
      </c>
      <c r="E178" s="96" t="s">
        <v>213</v>
      </c>
      <c r="F178" s="96" t="s">
        <v>213</v>
      </c>
      <c r="G178" s="97">
        <v>6.008454004456E12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99"/>
      <c r="B179" s="61"/>
      <c r="C179" s="95"/>
      <c r="D179" s="94"/>
      <c r="E179" s="96"/>
      <c r="F179" s="96"/>
      <c r="G179" s="97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99"/>
      <c r="B180" s="101" t="s">
        <v>169</v>
      </c>
      <c r="C180" s="95"/>
      <c r="D180" s="94"/>
      <c r="E180" s="94"/>
      <c r="F180" s="94"/>
      <c r="G180" s="97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93" t="s">
        <v>638</v>
      </c>
      <c r="B181" s="61" t="s">
        <v>639</v>
      </c>
      <c r="C181" s="95">
        <v>103.12</v>
      </c>
      <c r="D181" s="94">
        <v>1.0</v>
      </c>
      <c r="E181" s="94" t="s">
        <v>213</v>
      </c>
      <c r="F181" s="94">
        <v>12.0</v>
      </c>
      <c r="G181" s="97">
        <v>6.009635842997E12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93" t="s">
        <v>640</v>
      </c>
      <c r="B182" s="61" t="s">
        <v>641</v>
      </c>
      <c r="C182" s="95">
        <v>134.75</v>
      </c>
      <c r="D182" s="94">
        <v>1.0</v>
      </c>
      <c r="E182" s="94" t="s">
        <v>213</v>
      </c>
      <c r="F182" s="94">
        <v>12.0</v>
      </c>
      <c r="G182" s="97">
        <v>6.009635842348E12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93" t="s">
        <v>642</v>
      </c>
      <c r="B183" s="61" t="s">
        <v>643</v>
      </c>
      <c r="C183" s="95">
        <v>11.82</v>
      </c>
      <c r="D183" s="94">
        <v>12.0</v>
      </c>
      <c r="E183" s="94">
        <v>12.0</v>
      </c>
      <c r="F183" s="94">
        <v>72.0</v>
      </c>
      <c r="G183" s="97">
        <v>6.009635842331E12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93" t="s">
        <v>644</v>
      </c>
      <c r="B184" s="61" t="s">
        <v>645</v>
      </c>
      <c r="C184" s="95">
        <v>15.09</v>
      </c>
      <c r="D184" s="94">
        <v>12.0</v>
      </c>
      <c r="E184" s="94">
        <v>12.0</v>
      </c>
      <c r="F184" s="94">
        <v>72.0</v>
      </c>
      <c r="G184" s="97">
        <v>6.009635842324E12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93" t="s">
        <v>646</v>
      </c>
      <c r="B185" s="61" t="s">
        <v>647</v>
      </c>
      <c r="C185" s="95">
        <v>29.75</v>
      </c>
      <c r="D185" s="94">
        <v>12.0</v>
      </c>
      <c r="E185" s="94">
        <v>12.0</v>
      </c>
      <c r="F185" s="94">
        <v>72.0</v>
      </c>
      <c r="G185" s="97">
        <v>6.009699510887E12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93" t="s">
        <v>648</v>
      </c>
      <c r="B186" s="61" t="s">
        <v>649</v>
      </c>
      <c r="C186" s="95">
        <v>37.16</v>
      </c>
      <c r="D186" s="94">
        <v>12.0</v>
      </c>
      <c r="E186" s="94">
        <v>12.0</v>
      </c>
      <c r="F186" s="94">
        <v>72.0</v>
      </c>
      <c r="G186" s="97">
        <v>6.009608649585E12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93" t="s">
        <v>650</v>
      </c>
      <c r="B187" s="59" t="s">
        <v>651</v>
      </c>
      <c r="C187" s="95">
        <v>10.879999999999999</v>
      </c>
      <c r="D187" s="94" t="s">
        <v>213</v>
      </c>
      <c r="E187" s="94" t="s">
        <v>213</v>
      </c>
      <c r="F187" s="94">
        <v>360.0</v>
      </c>
      <c r="G187" s="97">
        <v>6.009699510481E12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104"/>
      <c r="B188" s="149"/>
      <c r="C188" s="107"/>
      <c r="D188" s="106"/>
      <c r="E188" s="106"/>
      <c r="F188" s="106"/>
      <c r="G188" s="10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110"/>
      <c r="B189" s="88" t="s">
        <v>178</v>
      </c>
      <c r="C189" s="111"/>
      <c r="D189" s="89"/>
      <c r="E189" s="89"/>
      <c r="F189" s="89"/>
      <c r="G189" s="92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93" t="s">
        <v>652</v>
      </c>
      <c r="B190" s="61" t="s">
        <v>653</v>
      </c>
      <c r="C190" s="95">
        <v>6.6899999999999995</v>
      </c>
      <c r="D190" s="94">
        <v>12.0</v>
      </c>
      <c r="E190" s="94">
        <v>12.0</v>
      </c>
      <c r="F190" s="94">
        <v>144.0</v>
      </c>
      <c r="G190" s="97">
        <v>6.009608648755E12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93" t="s">
        <v>654</v>
      </c>
      <c r="B191" s="61" t="s">
        <v>655</v>
      </c>
      <c r="C191" s="95">
        <v>11.34</v>
      </c>
      <c r="D191" s="94">
        <v>12.0</v>
      </c>
      <c r="E191" s="94">
        <v>12.0</v>
      </c>
      <c r="F191" s="94">
        <v>144.0</v>
      </c>
      <c r="G191" s="97">
        <v>6.009608648762E12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93" t="s">
        <v>656</v>
      </c>
      <c r="B192" s="61" t="s">
        <v>657</v>
      </c>
      <c r="C192" s="95">
        <v>17.770000000000003</v>
      </c>
      <c r="D192" s="94">
        <v>12.0</v>
      </c>
      <c r="E192" s="94">
        <v>12.0</v>
      </c>
      <c r="F192" s="94">
        <v>144.0</v>
      </c>
      <c r="G192" s="97">
        <v>6.009608641985E12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93" t="s">
        <v>658</v>
      </c>
      <c r="B193" s="61" t="s">
        <v>659</v>
      </c>
      <c r="C193" s="95">
        <v>15.19</v>
      </c>
      <c r="D193" s="94">
        <v>12.0</v>
      </c>
      <c r="E193" s="94">
        <v>12.0</v>
      </c>
      <c r="F193" s="94">
        <v>144.0</v>
      </c>
      <c r="G193" s="97">
        <v>6.009699519057E12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93" t="s">
        <v>660</v>
      </c>
      <c r="B194" s="61" t="s">
        <v>661</v>
      </c>
      <c r="C194" s="95">
        <v>29.020000000000003</v>
      </c>
      <c r="D194" s="94">
        <v>12.0</v>
      </c>
      <c r="E194" s="94">
        <v>12.0</v>
      </c>
      <c r="F194" s="94">
        <v>144.0</v>
      </c>
      <c r="G194" s="97">
        <v>6.009698067009E12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93" t="s">
        <v>662</v>
      </c>
      <c r="B195" s="61" t="s">
        <v>663</v>
      </c>
      <c r="C195" s="95">
        <v>41.949999999999996</v>
      </c>
      <c r="D195" s="94">
        <v>1.0</v>
      </c>
      <c r="E195" s="94">
        <v>6.0</v>
      </c>
      <c r="F195" s="94">
        <v>60.0</v>
      </c>
      <c r="G195" s="97">
        <v>6.009635837351E12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93" t="s">
        <v>664</v>
      </c>
      <c r="B196" s="61" t="s">
        <v>665</v>
      </c>
      <c r="C196" s="95">
        <v>41.949999999999996</v>
      </c>
      <c r="D196" s="94">
        <v>1.0</v>
      </c>
      <c r="E196" s="94">
        <v>6.0</v>
      </c>
      <c r="F196" s="94">
        <v>60.0</v>
      </c>
      <c r="G196" s="97">
        <v>6.009635837382E12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93" t="s">
        <v>666</v>
      </c>
      <c r="B197" s="61" t="s">
        <v>667</v>
      </c>
      <c r="C197" s="95">
        <v>41.949999999999996</v>
      </c>
      <c r="D197" s="94">
        <v>1.0</v>
      </c>
      <c r="E197" s="94">
        <v>6.0</v>
      </c>
      <c r="F197" s="94">
        <v>60.0</v>
      </c>
      <c r="G197" s="97">
        <v>6.009635837412E12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93" t="s">
        <v>668</v>
      </c>
      <c r="B198" s="61" t="s">
        <v>669</v>
      </c>
      <c r="C198" s="95">
        <v>41.949999999999996</v>
      </c>
      <c r="D198" s="94">
        <v>1.0</v>
      </c>
      <c r="E198" s="94">
        <v>6.0</v>
      </c>
      <c r="F198" s="94">
        <v>60.0</v>
      </c>
      <c r="G198" s="97">
        <v>6.009635837443E12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93" t="s">
        <v>670</v>
      </c>
      <c r="B199" s="61" t="s">
        <v>671</v>
      </c>
      <c r="C199" s="95">
        <v>41.949999999999996</v>
      </c>
      <c r="D199" s="94">
        <v>1.0</v>
      </c>
      <c r="E199" s="94">
        <v>6.0</v>
      </c>
      <c r="F199" s="94">
        <v>60.0</v>
      </c>
      <c r="G199" s="97">
        <v>6.009699514106E12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93" t="s">
        <v>672</v>
      </c>
      <c r="B200" s="61" t="s">
        <v>673</v>
      </c>
      <c r="C200" s="95">
        <v>41.949999999999996</v>
      </c>
      <c r="D200" s="94">
        <v>1.0</v>
      </c>
      <c r="E200" s="94">
        <v>6.0</v>
      </c>
      <c r="F200" s="94">
        <v>60.0</v>
      </c>
      <c r="G200" s="97">
        <v>6.009699514076E12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93" t="s">
        <v>674</v>
      </c>
      <c r="B201" s="61" t="s">
        <v>675</v>
      </c>
      <c r="C201" s="95">
        <v>20.19</v>
      </c>
      <c r="D201" s="94">
        <v>12.0</v>
      </c>
      <c r="E201" s="94">
        <v>12.0</v>
      </c>
      <c r="F201" s="94">
        <v>144.0</v>
      </c>
      <c r="G201" s="97">
        <v>6.00960864982E12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93"/>
      <c r="B202" s="61"/>
      <c r="C202" s="95"/>
      <c r="D202" s="94"/>
      <c r="E202" s="94"/>
      <c r="F202" s="94"/>
      <c r="G202" s="97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99"/>
      <c r="B203" s="101" t="s">
        <v>172</v>
      </c>
      <c r="C203" s="95"/>
      <c r="D203" s="94"/>
      <c r="E203" s="94"/>
      <c r="F203" s="94"/>
      <c r="G203" s="97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93" t="s">
        <v>676</v>
      </c>
      <c r="B204" s="61" t="s">
        <v>677</v>
      </c>
      <c r="C204" s="95">
        <v>8.959999999999999</v>
      </c>
      <c r="D204" s="94">
        <v>12.0</v>
      </c>
      <c r="E204" s="94">
        <v>12.0</v>
      </c>
      <c r="F204" s="94">
        <v>144.0</v>
      </c>
      <c r="G204" s="97">
        <v>6.009685855275E12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93" t="s">
        <v>678</v>
      </c>
      <c r="B205" s="61" t="s">
        <v>679</v>
      </c>
      <c r="C205" s="95">
        <v>13.24</v>
      </c>
      <c r="D205" s="94">
        <v>12.0</v>
      </c>
      <c r="E205" s="94">
        <v>12.0</v>
      </c>
      <c r="F205" s="94">
        <v>144.0</v>
      </c>
      <c r="G205" s="97">
        <v>6.009685855305E12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93" t="s">
        <v>680</v>
      </c>
      <c r="B206" s="61" t="s">
        <v>681</v>
      </c>
      <c r="C206" s="95">
        <v>24.8</v>
      </c>
      <c r="D206" s="94">
        <v>6.0</v>
      </c>
      <c r="E206" s="94">
        <v>6.0</v>
      </c>
      <c r="F206" s="94">
        <v>36.0</v>
      </c>
      <c r="G206" s="97">
        <v>6.009685855336E12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93" t="s">
        <v>682</v>
      </c>
      <c r="B207" s="61" t="s">
        <v>683</v>
      </c>
      <c r="C207" s="95">
        <v>10.459999999999999</v>
      </c>
      <c r="D207" s="94">
        <v>12.0</v>
      </c>
      <c r="E207" s="94">
        <v>12.0</v>
      </c>
      <c r="F207" s="94">
        <v>144.0</v>
      </c>
      <c r="G207" s="97">
        <v>6.009608641503E12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93" t="s">
        <v>684</v>
      </c>
      <c r="B208" s="61" t="s">
        <v>685</v>
      </c>
      <c r="C208" s="95">
        <v>7.99</v>
      </c>
      <c r="D208" s="94">
        <v>12.0</v>
      </c>
      <c r="E208" s="94">
        <v>12.0</v>
      </c>
      <c r="F208" s="94">
        <v>144.0</v>
      </c>
      <c r="G208" s="97">
        <v>6.00960864151E12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93"/>
      <c r="B209" s="61"/>
      <c r="C209" s="95"/>
      <c r="D209" s="94"/>
      <c r="E209" s="94"/>
      <c r="F209" s="94"/>
      <c r="G209" s="97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99"/>
      <c r="B210" s="101" t="s">
        <v>181</v>
      </c>
      <c r="C210" s="95"/>
      <c r="D210" s="94"/>
      <c r="E210" s="94"/>
      <c r="F210" s="94"/>
      <c r="G210" s="97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93" t="s">
        <v>686</v>
      </c>
      <c r="B211" s="61" t="s">
        <v>687</v>
      </c>
      <c r="C211" s="95">
        <v>5.95</v>
      </c>
      <c r="D211" s="94">
        <v>12.0</v>
      </c>
      <c r="E211" s="94">
        <v>12.0</v>
      </c>
      <c r="F211" s="94">
        <v>576.0</v>
      </c>
      <c r="G211" s="97">
        <v>6.009608642265E12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93" t="s">
        <v>688</v>
      </c>
      <c r="B212" s="61" t="s">
        <v>689</v>
      </c>
      <c r="C212" s="95">
        <v>2.0599999999999996</v>
      </c>
      <c r="D212" s="94">
        <v>12.0</v>
      </c>
      <c r="E212" s="94">
        <v>12.0</v>
      </c>
      <c r="F212" s="94">
        <v>1152.0</v>
      </c>
      <c r="G212" s="97">
        <v>6.009685850638E12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93" t="s">
        <v>690</v>
      </c>
      <c r="B213" s="61" t="s">
        <v>691</v>
      </c>
      <c r="C213" s="95">
        <v>2.32</v>
      </c>
      <c r="D213" s="94">
        <v>12.0</v>
      </c>
      <c r="E213" s="141">
        <v>12.0</v>
      </c>
      <c r="F213" s="141">
        <v>1152.0</v>
      </c>
      <c r="G213" s="97">
        <v>6.00960864896E12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93"/>
      <c r="B214" s="61"/>
      <c r="C214" s="95"/>
      <c r="D214" s="94"/>
      <c r="E214" s="141"/>
      <c r="F214" s="141"/>
      <c r="G214" s="97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99"/>
      <c r="B215" s="101" t="s">
        <v>184</v>
      </c>
      <c r="C215" s="95"/>
      <c r="D215" s="94"/>
      <c r="E215" s="94"/>
      <c r="F215" s="94"/>
      <c r="G215" s="97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93" t="s">
        <v>692</v>
      </c>
      <c r="B216" s="61" t="s">
        <v>693</v>
      </c>
      <c r="C216" s="95">
        <v>36.769999999999996</v>
      </c>
      <c r="D216" s="94">
        <v>1.0</v>
      </c>
      <c r="E216" s="94">
        <v>10.0</v>
      </c>
      <c r="F216" s="94">
        <v>60.0</v>
      </c>
      <c r="G216" s="97">
        <v>6.009635837528E12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93" t="s">
        <v>694</v>
      </c>
      <c r="B217" s="61" t="s">
        <v>695</v>
      </c>
      <c r="C217" s="95">
        <v>36.769999999999996</v>
      </c>
      <c r="D217" s="94">
        <v>1.0</v>
      </c>
      <c r="E217" s="94">
        <v>10.0</v>
      </c>
      <c r="F217" s="94">
        <v>60.0</v>
      </c>
      <c r="G217" s="97">
        <v>6.00968585452E12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93" t="s">
        <v>696</v>
      </c>
      <c r="B218" s="61" t="s">
        <v>697</v>
      </c>
      <c r="C218" s="95">
        <v>36.769999999999996</v>
      </c>
      <c r="D218" s="94">
        <v>1.0</v>
      </c>
      <c r="E218" s="94">
        <v>10.0</v>
      </c>
      <c r="F218" s="94">
        <v>60.0</v>
      </c>
      <c r="G218" s="97">
        <v>6.009698061885E12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93" t="s">
        <v>698</v>
      </c>
      <c r="B219" s="61" t="s">
        <v>699</v>
      </c>
      <c r="C219" s="95">
        <v>36.769999999999996</v>
      </c>
      <c r="D219" s="94">
        <v>1.0</v>
      </c>
      <c r="E219" s="94">
        <v>10.0</v>
      </c>
      <c r="F219" s="94">
        <v>60.0</v>
      </c>
      <c r="G219" s="97">
        <v>6.009698061908E12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93" t="s">
        <v>700</v>
      </c>
      <c r="B220" s="61" t="s">
        <v>701</v>
      </c>
      <c r="C220" s="95">
        <v>5.2299999999999995</v>
      </c>
      <c r="D220" s="94">
        <v>12.0</v>
      </c>
      <c r="E220" s="94">
        <v>12.0</v>
      </c>
      <c r="F220" s="94">
        <v>144.0</v>
      </c>
      <c r="G220" s="97">
        <v>6.009635837559E12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93" t="s">
        <v>702</v>
      </c>
      <c r="B221" s="61" t="s">
        <v>703</v>
      </c>
      <c r="C221" s="95">
        <v>5.2299999999999995</v>
      </c>
      <c r="D221" s="94">
        <v>12.0</v>
      </c>
      <c r="E221" s="94">
        <v>12.0</v>
      </c>
      <c r="F221" s="94">
        <v>144.0</v>
      </c>
      <c r="G221" s="97">
        <v>6.009685854469E12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93" t="s">
        <v>704</v>
      </c>
      <c r="B222" s="61" t="s">
        <v>705</v>
      </c>
      <c r="C222" s="95">
        <v>5.2299999999999995</v>
      </c>
      <c r="D222" s="94">
        <v>12.0</v>
      </c>
      <c r="E222" s="94">
        <v>12.0</v>
      </c>
      <c r="F222" s="94">
        <v>144.0</v>
      </c>
      <c r="G222" s="97">
        <v>6.00968585449E12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93" t="s">
        <v>706</v>
      </c>
      <c r="B223" s="61" t="s">
        <v>707</v>
      </c>
      <c r="C223" s="95">
        <v>5.2299999999999995</v>
      </c>
      <c r="D223" s="94">
        <v>12.0</v>
      </c>
      <c r="E223" s="94">
        <v>12.0</v>
      </c>
      <c r="F223" s="94">
        <v>144.0</v>
      </c>
      <c r="G223" s="97">
        <v>6.009685856067E12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93" t="s">
        <v>708</v>
      </c>
      <c r="B224" s="61" t="s">
        <v>709</v>
      </c>
      <c r="C224" s="95">
        <v>18.42</v>
      </c>
      <c r="D224" s="94">
        <v>12.0</v>
      </c>
      <c r="E224" s="94">
        <v>12.0</v>
      </c>
      <c r="F224" s="94">
        <v>144.0</v>
      </c>
      <c r="G224" s="97">
        <v>6.009698061922E12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99"/>
      <c r="B225" s="61"/>
      <c r="C225" s="95"/>
      <c r="D225" s="94"/>
      <c r="E225" s="94"/>
      <c r="F225" s="94"/>
      <c r="G225" s="97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99"/>
      <c r="B226" s="101" t="s">
        <v>187</v>
      </c>
      <c r="C226" s="95"/>
      <c r="D226" s="94"/>
      <c r="E226" s="94"/>
      <c r="F226" s="94"/>
      <c r="G226" s="97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93" t="s">
        <v>710</v>
      </c>
      <c r="B227" s="61" t="s">
        <v>711</v>
      </c>
      <c r="C227" s="95">
        <v>16.880000000000003</v>
      </c>
      <c r="D227" s="94">
        <v>12.0</v>
      </c>
      <c r="E227" s="94">
        <v>12.0</v>
      </c>
      <c r="F227" s="94">
        <v>120.0</v>
      </c>
      <c r="G227" s="97">
        <v>6.009685850416E12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93" t="s">
        <v>712</v>
      </c>
      <c r="B228" s="61" t="s">
        <v>713</v>
      </c>
      <c r="C228" s="95">
        <v>13.4</v>
      </c>
      <c r="D228" s="94">
        <v>12.0</v>
      </c>
      <c r="E228" s="94">
        <v>12.0</v>
      </c>
      <c r="F228" s="94">
        <v>144.0</v>
      </c>
      <c r="G228" s="97">
        <v>6.009685851055E12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93" t="s">
        <v>714</v>
      </c>
      <c r="B229" s="61" t="s">
        <v>715</v>
      </c>
      <c r="C229" s="95">
        <v>54.0</v>
      </c>
      <c r="D229" s="94">
        <v>12.0</v>
      </c>
      <c r="E229" s="94">
        <v>12.0</v>
      </c>
      <c r="F229" s="94">
        <v>96.0</v>
      </c>
      <c r="G229" s="97">
        <v>6.009699519576E12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93" t="s">
        <v>716</v>
      </c>
      <c r="B230" s="61" t="s">
        <v>717</v>
      </c>
      <c r="C230" s="95">
        <v>229.56</v>
      </c>
      <c r="D230" s="94">
        <v>1.0</v>
      </c>
      <c r="E230" s="94">
        <v>1.0</v>
      </c>
      <c r="F230" s="94">
        <v>12.0</v>
      </c>
      <c r="G230" s="97">
        <v>6.009699516278E12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93"/>
      <c r="B231" s="61"/>
      <c r="C231" s="95"/>
      <c r="D231" s="94"/>
      <c r="E231" s="94"/>
      <c r="F231" s="94"/>
      <c r="G231" s="97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93" t="s">
        <v>593</v>
      </c>
      <c r="B232" s="101" t="s">
        <v>718</v>
      </c>
      <c r="C232" s="95"/>
      <c r="D232" s="94"/>
      <c r="E232" s="94"/>
      <c r="F232" s="94"/>
      <c r="G232" s="97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93" t="s">
        <v>719</v>
      </c>
      <c r="B233" s="61" t="s">
        <v>720</v>
      </c>
      <c r="C233" s="95">
        <v>15.85</v>
      </c>
      <c r="D233" s="94">
        <v>12.0</v>
      </c>
      <c r="E233" s="94">
        <v>12.0</v>
      </c>
      <c r="F233" s="94">
        <v>72.0</v>
      </c>
      <c r="G233" s="97">
        <v>6.009608647857E12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93" t="s">
        <v>721</v>
      </c>
      <c r="B234" s="61" t="s">
        <v>722</v>
      </c>
      <c r="C234" s="95">
        <v>10.87</v>
      </c>
      <c r="D234" s="94">
        <v>12.0</v>
      </c>
      <c r="E234" s="94">
        <v>12.0</v>
      </c>
      <c r="F234" s="94">
        <v>144.0</v>
      </c>
      <c r="G234" s="97">
        <v>6.00960864784E12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93" t="s">
        <v>723</v>
      </c>
      <c r="B235" s="61" t="s">
        <v>724</v>
      </c>
      <c r="C235" s="95">
        <v>17.270000000000003</v>
      </c>
      <c r="D235" s="94">
        <v>12.0</v>
      </c>
      <c r="E235" s="94">
        <v>12.0</v>
      </c>
      <c r="F235" s="94">
        <v>96.0</v>
      </c>
      <c r="G235" s="97">
        <v>6.009608647833E12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93" t="s">
        <v>725</v>
      </c>
      <c r="B236" s="61" t="s">
        <v>726</v>
      </c>
      <c r="C236" s="95">
        <v>12.62</v>
      </c>
      <c r="D236" s="94">
        <v>12.0</v>
      </c>
      <c r="E236" s="94">
        <v>12.0</v>
      </c>
      <c r="F236" s="94">
        <v>144.0</v>
      </c>
      <c r="G236" s="97">
        <v>6.009698061458E12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93" t="s">
        <v>727</v>
      </c>
      <c r="B237" s="61" t="s">
        <v>728</v>
      </c>
      <c r="C237" s="95">
        <v>23.23</v>
      </c>
      <c r="D237" s="94">
        <v>6.0</v>
      </c>
      <c r="E237" s="94">
        <v>6.0</v>
      </c>
      <c r="F237" s="94">
        <v>24.0</v>
      </c>
      <c r="G237" s="97">
        <v>6.009685850492E12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93"/>
      <c r="B238" s="61"/>
      <c r="C238" s="95"/>
      <c r="D238" s="94"/>
      <c r="E238" s="94"/>
      <c r="F238" s="94"/>
      <c r="G238" s="97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99"/>
      <c r="B239" s="101" t="s">
        <v>193</v>
      </c>
      <c r="C239" s="95"/>
      <c r="D239" s="94"/>
      <c r="E239" s="94"/>
      <c r="F239" s="94"/>
      <c r="G239" s="97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93" t="s">
        <v>729</v>
      </c>
      <c r="B240" s="61" t="s">
        <v>730</v>
      </c>
      <c r="C240" s="95">
        <v>15.24</v>
      </c>
      <c r="D240" s="94">
        <v>12.0</v>
      </c>
      <c r="E240" s="94">
        <v>12.0</v>
      </c>
      <c r="F240" s="94">
        <v>72.0</v>
      </c>
      <c r="G240" s="97">
        <v>6.009608647482E12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93" t="s">
        <v>731</v>
      </c>
      <c r="B241" s="61" t="s">
        <v>732</v>
      </c>
      <c r="C241" s="95">
        <v>32.04</v>
      </c>
      <c r="D241" s="94">
        <v>12.0</v>
      </c>
      <c r="E241" s="94">
        <v>12.0</v>
      </c>
      <c r="F241" s="94">
        <v>60.0</v>
      </c>
      <c r="G241" s="97">
        <v>6.009608647468E12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99"/>
      <c r="B242" s="61"/>
      <c r="C242" s="95"/>
      <c r="D242" s="94"/>
      <c r="E242" s="94"/>
      <c r="F242" s="94"/>
      <c r="G242" s="97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99"/>
      <c r="B243" s="101" t="s">
        <v>733</v>
      </c>
      <c r="C243" s="95"/>
      <c r="D243" s="94"/>
      <c r="E243" s="94"/>
      <c r="F243" s="94"/>
      <c r="G243" s="97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93" t="s">
        <v>734</v>
      </c>
      <c r="B244" s="61" t="s">
        <v>735</v>
      </c>
      <c r="C244" s="95">
        <v>24.650000000000002</v>
      </c>
      <c r="D244" s="94">
        <v>12.0</v>
      </c>
      <c r="E244" s="94">
        <v>12.0</v>
      </c>
      <c r="F244" s="94">
        <v>96.0</v>
      </c>
      <c r="G244" s="97">
        <v>6.009685855022E12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93" t="s">
        <v>736</v>
      </c>
      <c r="B245" s="61" t="s">
        <v>737</v>
      </c>
      <c r="C245" s="95">
        <v>15.14</v>
      </c>
      <c r="D245" s="94">
        <v>12.0</v>
      </c>
      <c r="E245" s="94">
        <v>12.0</v>
      </c>
      <c r="F245" s="94">
        <v>144.0</v>
      </c>
      <c r="G245" s="97">
        <v>6.009685854995E12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99"/>
      <c r="B246" s="61"/>
      <c r="C246" s="95"/>
      <c r="D246" s="94"/>
      <c r="E246" s="94"/>
      <c r="F246" s="94"/>
      <c r="G246" s="97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99"/>
      <c r="B247" s="61"/>
      <c r="C247" s="95"/>
      <c r="D247" s="94"/>
      <c r="E247" s="94"/>
      <c r="F247" s="94"/>
      <c r="G247" s="97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150"/>
      <c r="B248" s="105"/>
      <c r="C248" s="107"/>
      <c r="D248" s="106"/>
      <c r="E248" s="106"/>
      <c r="F248" s="106"/>
      <c r="G248" s="10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136"/>
      <c r="B249" s="137" t="s">
        <v>96</v>
      </c>
      <c r="C249" s="142"/>
      <c r="D249" s="139"/>
      <c r="E249" s="139"/>
      <c r="F249" s="139"/>
      <c r="G249" s="14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144" t="s">
        <v>738</v>
      </c>
      <c r="B250" s="61" t="s">
        <v>739</v>
      </c>
      <c r="C250" s="95">
        <v>30.150000000000002</v>
      </c>
      <c r="D250" s="94">
        <v>1.0</v>
      </c>
      <c r="E250" s="94" t="s">
        <v>213</v>
      </c>
      <c r="F250" s="94">
        <v>24.0</v>
      </c>
      <c r="G250" s="97">
        <v>6.009801541945E12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144" t="s">
        <v>740</v>
      </c>
      <c r="B251" s="61" t="s">
        <v>741</v>
      </c>
      <c r="C251" s="95">
        <v>30.150000000000002</v>
      </c>
      <c r="D251" s="94">
        <v>1.0</v>
      </c>
      <c r="E251" s="94" t="s">
        <v>213</v>
      </c>
      <c r="F251" s="94">
        <v>24.0</v>
      </c>
      <c r="G251" s="97">
        <v>6.009801541938E12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144" t="s">
        <v>742</v>
      </c>
      <c r="B252" s="61" t="s">
        <v>743</v>
      </c>
      <c r="C252" s="95">
        <v>30.150000000000002</v>
      </c>
      <c r="D252" s="94">
        <v>1.0</v>
      </c>
      <c r="E252" s="94" t="s">
        <v>213</v>
      </c>
      <c r="F252" s="94">
        <v>24.0</v>
      </c>
      <c r="G252" s="97">
        <v>6.009608641831E12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144" t="s">
        <v>744</v>
      </c>
      <c r="B253" s="61" t="s">
        <v>745</v>
      </c>
      <c r="C253" s="95">
        <v>30.150000000000002</v>
      </c>
      <c r="D253" s="94">
        <v>1.0</v>
      </c>
      <c r="E253" s="94" t="s">
        <v>213</v>
      </c>
      <c r="F253" s="94">
        <v>24.0</v>
      </c>
      <c r="G253" s="97">
        <v>6.009801541969E12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144" t="s">
        <v>746</v>
      </c>
      <c r="B254" s="61" t="s">
        <v>747</v>
      </c>
      <c r="C254" s="95">
        <v>30.150000000000002</v>
      </c>
      <c r="D254" s="94">
        <v>1.0</v>
      </c>
      <c r="E254" s="94" t="s">
        <v>213</v>
      </c>
      <c r="F254" s="94">
        <v>24.0</v>
      </c>
      <c r="G254" s="97">
        <v>6.009699511051E12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144" t="s">
        <v>748</v>
      </c>
      <c r="B255" s="61" t="s">
        <v>749</v>
      </c>
      <c r="C255" s="95">
        <v>30.150000000000002</v>
      </c>
      <c r="D255" s="94">
        <v>1.0</v>
      </c>
      <c r="E255" s="94" t="s">
        <v>213</v>
      </c>
      <c r="F255" s="94">
        <v>24.0</v>
      </c>
      <c r="G255" s="97">
        <v>6.00969806493E12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144" t="s">
        <v>750</v>
      </c>
      <c r="B256" s="61" t="s">
        <v>751</v>
      </c>
      <c r="C256" s="95">
        <v>30.150000000000002</v>
      </c>
      <c r="D256" s="94">
        <v>1.0</v>
      </c>
      <c r="E256" s="94" t="s">
        <v>213</v>
      </c>
      <c r="F256" s="94">
        <v>24.0</v>
      </c>
      <c r="G256" s="97">
        <v>6.00980154102E12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144" t="s">
        <v>752</v>
      </c>
      <c r="B257" s="61" t="s">
        <v>753</v>
      </c>
      <c r="C257" s="95">
        <v>30.150000000000002</v>
      </c>
      <c r="D257" s="94">
        <v>1.0</v>
      </c>
      <c r="E257" s="94" t="s">
        <v>213</v>
      </c>
      <c r="F257" s="94">
        <v>24.0</v>
      </c>
      <c r="G257" s="97">
        <v>6.009801541952E12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144" t="s">
        <v>754</v>
      </c>
      <c r="B258" s="61" t="s">
        <v>755</v>
      </c>
      <c r="C258" s="95">
        <v>30.150000000000002</v>
      </c>
      <c r="D258" s="94">
        <v>1.0</v>
      </c>
      <c r="E258" s="94" t="s">
        <v>213</v>
      </c>
      <c r="F258" s="94">
        <v>24.0</v>
      </c>
      <c r="G258" s="97">
        <v>6.009801541921E12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93" t="s">
        <v>756</v>
      </c>
      <c r="B259" s="61" t="s">
        <v>757</v>
      </c>
      <c r="C259" s="95">
        <v>86.59</v>
      </c>
      <c r="D259" s="94">
        <v>1.0</v>
      </c>
      <c r="E259" s="94" t="s">
        <v>213</v>
      </c>
      <c r="F259" s="94">
        <v>6.0</v>
      </c>
      <c r="G259" s="97">
        <v>6.009801541167E12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93" t="s">
        <v>758</v>
      </c>
      <c r="B260" s="61" t="s">
        <v>759</v>
      </c>
      <c r="C260" s="95">
        <v>86.59</v>
      </c>
      <c r="D260" s="94">
        <v>1.0</v>
      </c>
      <c r="E260" s="94" t="s">
        <v>213</v>
      </c>
      <c r="F260" s="94">
        <v>6.0</v>
      </c>
      <c r="G260" s="97">
        <v>6.00980154115E12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93" t="s">
        <v>760</v>
      </c>
      <c r="B261" s="61" t="s">
        <v>761</v>
      </c>
      <c r="C261" s="95">
        <v>86.59</v>
      </c>
      <c r="D261" s="94">
        <v>1.0</v>
      </c>
      <c r="E261" s="94" t="s">
        <v>213</v>
      </c>
      <c r="F261" s="94">
        <v>6.0</v>
      </c>
      <c r="G261" s="97">
        <v>6.009801541129E12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93" t="s">
        <v>762</v>
      </c>
      <c r="B262" s="61" t="s">
        <v>763</v>
      </c>
      <c r="C262" s="95">
        <v>86.59</v>
      </c>
      <c r="D262" s="94">
        <v>1.0</v>
      </c>
      <c r="E262" s="94" t="s">
        <v>213</v>
      </c>
      <c r="F262" s="94">
        <v>6.0</v>
      </c>
      <c r="G262" s="97">
        <v>6.009801541136E12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93" t="s">
        <v>764</v>
      </c>
      <c r="B263" s="61" t="s">
        <v>765</v>
      </c>
      <c r="C263" s="95">
        <v>86.59</v>
      </c>
      <c r="D263" s="94">
        <v>1.0</v>
      </c>
      <c r="E263" s="94" t="s">
        <v>213</v>
      </c>
      <c r="F263" s="94">
        <v>6.0</v>
      </c>
      <c r="G263" s="97">
        <v>6.009801541112E12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93" t="s">
        <v>766</v>
      </c>
      <c r="B264" s="61" t="s">
        <v>767</v>
      </c>
      <c r="C264" s="95">
        <v>86.59</v>
      </c>
      <c r="D264" s="94">
        <v>1.0</v>
      </c>
      <c r="E264" s="94" t="s">
        <v>213</v>
      </c>
      <c r="F264" s="94">
        <v>6.0</v>
      </c>
      <c r="G264" s="97">
        <v>6.009801541143E12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93" t="s">
        <v>768</v>
      </c>
      <c r="B265" s="61" t="s">
        <v>769</v>
      </c>
      <c r="C265" s="95">
        <v>152.98</v>
      </c>
      <c r="D265" s="94">
        <v>1.0</v>
      </c>
      <c r="E265" s="94" t="s">
        <v>213</v>
      </c>
      <c r="F265" s="94">
        <v>4.0</v>
      </c>
      <c r="G265" s="97">
        <v>6.009801541051E12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93" t="s">
        <v>770</v>
      </c>
      <c r="B266" s="61" t="s">
        <v>771</v>
      </c>
      <c r="C266" s="95">
        <v>152.98</v>
      </c>
      <c r="D266" s="94">
        <v>1.0</v>
      </c>
      <c r="E266" s="94" t="s">
        <v>213</v>
      </c>
      <c r="F266" s="94">
        <v>4.0</v>
      </c>
      <c r="G266" s="97">
        <v>6.009801541068E12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93" t="s">
        <v>772</v>
      </c>
      <c r="B267" s="61" t="s">
        <v>773</v>
      </c>
      <c r="C267" s="95">
        <v>152.98</v>
      </c>
      <c r="D267" s="94">
        <v>1.0</v>
      </c>
      <c r="E267" s="94" t="s">
        <v>213</v>
      </c>
      <c r="F267" s="94">
        <v>4.0</v>
      </c>
      <c r="G267" s="97">
        <v>6.009801541099E12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93" t="s">
        <v>774</v>
      </c>
      <c r="B268" s="61" t="s">
        <v>775</v>
      </c>
      <c r="C268" s="95">
        <v>152.98</v>
      </c>
      <c r="D268" s="94">
        <v>1.0</v>
      </c>
      <c r="E268" s="94" t="s">
        <v>213</v>
      </c>
      <c r="F268" s="94">
        <v>4.0</v>
      </c>
      <c r="G268" s="97">
        <v>6.009801541082E12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93" t="s">
        <v>776</v>
      </c>
      <c r="B269" s="61" t="s">
        <v>777</v>
      </c>
      <c r="C269" s="95">
        <v>152.98</v>
      </c>
      <c r="D269" s="94">
        <v>1.0</v>
      </c>
      <c r="E269" s="94" t="s">
        <v>213</v>
      </c>
      <c r="F269" s="94">
        <v>4.0</v>
      </c>
      <c r="G269" s="97">
        <v>6.009801541105E12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93" t="s">
        <v>778</v>
      </c>
      <c r="B270" s="61" t="s">
        <v>779</v>
      </c>
      <c r="C270" s="95">
        <v>152.98</v>
      </c>
      <c r="D270" s="94">
        <v>1.0</v>
      </c>
      <c r="E270" s="94" t="s">
        <v>213</v>
      </c>
      <c r="F270" s="94">
        <v>4.0</v>
      </c>
      <c r="G270" s="97">
        <v>6.009801541075E12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93"/>
      <c r="B271" s="61"/>
      <c r="C271" s="95"/>
      <c r="D271" s="94"/>
      <c r="E271" s="94"/>
      <c r="F271" s="94"/>
      <c r="G271" s="97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99"/>
      <c r="B272" s="101" t="s">
        <v>780</v>
      </c>
      <c r="C272" s="95"/>
      <c r="D272" s="94"/>
      <c r="E272" s="94"/>
      <c r="F272" s="94"/>
      <c r="G272" s="97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93" t="s">
        <v>781</v>
      </c>
      <c r="B273" s="151" t="s">
        <v>782</v>
      </c>
      <c r="C273" s="95">
        <v>24.6</v>
      </c>
      <c r="D273" s="94">
        <v>5.0</v>
      </c>
      <c r="E273" s="94">
        <v>5.0</v>
      </c>
      <c r="F273" s="94">
        <v>60.0</v>
      </c>
      <c r="G273" s="97">
        <v>6.009608645143E12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93" t="s">
        <v>783</v>
      </c>
      <c r="B274" s="151" t="s">
        <v>784</v>
      </c>
      <c r="C274" s="95">
        <v>24.6</v>
      </c>
      <c r="D274" s="94">
        <v>5.0</v>
      </c>
      <c r="E274" s="94">
        <v>5.0</v>
      </c>
      <c r="F274" s="94">
        <v>60.0</v>
      </c>
      <c r="G274" s="97">
        <v>6.009608645167E12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93" t="s">
        <v>785</v>
      </c>
      <c r="B275" s="151" t="s">
        <v>786</v>
      </c>
      <c r="C275" s="95">
        <v>24.6</v>
      </c>
      <c r="D275" s="94">
        <v>5.0</v>
      </c>
      <c r="E275" s="94">
        <v>5.0</v>
      </c>
      <c r="F275" s="94">
        <v>60.0</v>
      </c>
      <c r="G275" s="97">
        <v>6.009608645174E12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93" t="s">
        <v>787</v>
      </c>
      <c r="B276" s="151" t="s">
        <v>788</v>
      </c>
      <c r="C276" s="95">
        <v>24.6</v>
      </c>
      <c r="D276" s="94">
        <v>5.0</v>
      </c>
      <c r="E276" s="94">
        <v>5.0</v>
      </c>
      <c r="F276" s="94">
        <v>60.0</v>
      </c>
      <c r="G276" s="97">
        <v>6.009608645198E12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93" t="s">
        <v>789</v>
      </c>
      <c r="B277" s="151" t="s">
        <v>790</v>
      </c>
      <c r="C277" s="95">
        <v>24.6</v>
      </c>
      <c r="D277" s="94">
        <v>5.0</v>
      </c>
      <c r="E277" s="94">
        <v>5.0</v>
      </c>
      <c r="F277" s="94">
        <v>60.0</v>
      </c>
      <c r="G277" s="97">
        <v>6.00960864515E12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93" t="s">
        <v>791</v>
      </c>
      <c r="B278" s="151" t="s">
        <v>792</v>
      </c>
      <c r="C278" s="95">
        <v>24.6</v>
      </c>
      <c r="D278" s="94">
        <v>5.0</v>
      </c>
      <c r="E278" s="94">
        <v>5.0</v>
      </c>
      <c r="F278" s="94">
        <v>60.0</v>
      </c>
      <c r="G278" s="97">
        <v>6.009505700686E12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93" t="s">
        <v>793</v>
      </c>
      <c r="B279" s="151" t="s">
        <v>794</v>
      </c>
      <c r="C279" s="95">
        <v>24.6</v>
      </c>
      <c r="D279" s="94">
        <v>5.0</v>
      </c>
      <c r="E279" s="94">
        <v>5.0</v>
      </c>
      <c r="F279" s="94">
        <v>60.0</v>
      </c>
      <c r="G279" s="97">
        <v>6.009699516902E12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93" t="s">
        <v>795</v>
      </c>
      <c r="B280" s="151" t="s">
        <v>796</v>
      </c>
      <c r="C280" s="95">
        <v>12.82</v>
      </c>
      <c r="D280" s="94">
        <v>5.0</v>
      </c>
      <c r="E280" s="94">
        <v>5.0</v>
      </c>
      <c r="F280" s="94">
        <v>120.0</v>
      </c>
      <c r="G280" s="97">
        <v>6.009608645082E12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93" t="s">
        <v>797</v>
      </c>
      <c r="B281" s="151" t="s">
        <v>798</v>
      </c>
      <c r="C281" s="95">
        <v>12.82</v>
      </c>
      <c r="D281" s="94">
        <v>5.0</v>
      </c>
      <c r="E281" s="94">
        <v>5.0</v>
      </c>
      <c r="F281" s="94">
        <v>120.0</v>
      </c>
      <c r="G281" s="97">
        <v>6.009608645099E12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93" t="s">
        <v>799</v>
      </c>
      <c r="B282" s="151" t="s">
        <v>800</v>
      </c>
      <c r="C282" s="95">
        <v>12.82</v>
      </c>
      <c r="D282" s="94">
        <v>5.0</v>
      </c>
      <c r="E282" s="94">
        <v>5.0</v>
      </c>
      <c r="F282" s="94">
        <v>120.0</v>
      </c>
      <c r="G282" s="97">
        <v>6.009608645105E12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93" t="s">
        <v>801</v>
      </c>
      <c r="B283" s="151" t="s">
        <v>802</v>
      </c>
      <c r="C283" s="95">
        <v>12.82</v>
      </c>
      <c r="D283" s="94">
        <v>5.0</v>
      </c>
      <c r="E283" s="94">
        <v>5.0</v>
      </c>
      <c r="F283" s="94">
        <v>120.0</v>
      </c>
      <c r="G283" s="97">
        <v>6.009608645112E12</v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93" t="s">
        <v>803</v>
      </c>
      <c r="B284" s="151" t="s">
        <v>804</v>
      </c>
      <c r="C284" s="95">
        <v>12.82</v>
      </c>
      <c r="D284" s="94">
        <v>5.0</v>
      </c>
      <c r="E284" s="94">
        <v>5.0</v>
      </c>
      <c r="F284" s="94">
        <v>120.0</v>
      </c>
      <c r="G284" s="97">
        <v>6.009608645129E12</v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93" t="s">
        <v>805</v>
      </c>
      <c r="B285" s="151" t="s">
        <v>806</v>
      </c>
      <c r="C285" s="95">
        <v>12.82</v>
      </c>
      <c r="D285" s="94">
        <v>5.0</v>
      </c>
      <c r="E285" s="94">
        <v>5.0</v>
      </c>
      <c r="F285" s="94">
        <v>120.0</v>
      </c>
      <c r="G285" s="97">
        <v>6.009608645136E12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93" t="s">
        <v>807</v>
      </c>
      <c r="B286" s="61" t="s">
        <v>808</v>
      </c>
      <c r="C286" s="95">
        <v>44.54</v>
      </c>
      <c r="D286" s="94">
        <v>3.0</v>
      </c>
      <c r="E286" s="94">
        <v>3.0</v>
      </c>
      <c r="F286" s="94">
        <v>36.0</v>
      </c>
      <c r="G286" s="97">
        <v>6.009608645181E12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93" t="s">
        <v>809</v>
      </c>
      <c r="B287" s="61" t="s">
        <v>810</v>
      </c>
      <c r="C287" s="95">
        <v>44.059999999999995</v>
      </c>
      <c r="D287" s="94">
        <v>3.0</v>
      </c>
      <c r="E287" s="94">
        <v>3.0</v>
      </c>
      <c r="F287" s="94">
        <v>36.0</v>
      </c>
      <c r="G287" s="97">
        <v>6.009635844328E12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93" t="s">
        <v>811</v>
      </c>
      <c r="B288" s="61" t="s">
        <v>812</v>
      </c>
      <c r="C288" s="95">
        <v>33.6</v>
      </c>
      <c r="D288" s="94">
        <v>10.0</v>
      </c>
      <c r="E288" s="94">
        <v>10.0</v>
      </c>
      <c r="F288" s="94">
        <v>120.0</v>
      </c>
      <c r="G288" s="97">
        <v>6.009698061823E12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93" t="s">
        <v>813</v>
      </c>
      <c r="B289" s="61" t="s">
        <v>814</v>
      </c>
      <c r="C289" s="95">
        <v>26.130000000000003</v>
      </c>
      <c r="D289" s="94">
        <v>5.0</v>
      </c>
      <c r="E289" s="94">
        <v>5.0</v>
      </c>
      <c r="F289" s="94">
        <v>80.0</v>
      </c>
      <c r="G289" s="97">
        <v>6.009697790205E12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93" t="s">
        <v>815</v>
      </c>
      <c r="B290" s="61" t="s">
        <v>816</v>
      </c>
      <c r="C290" s="95">
        <v>52.129999999999995</v>
      </c>
      <c r="D290" s="94">
        <v>5.0</v>
      </c>
      <c r="E290" s="94">
        <v>5.0</v>
      </c>
      <c r="F290" s="94">
        <v>30.0</v>
      </c>
      <c r="G290" s="97">
        <v>6.0096995109E12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152"/>
      <c r="B291" s="61"/>
      <c r="C291" s="95"/>
      <c r="D291" s="94"/>
      <c r="E291" s="94"/>
      <c r="F291" s="94"/>
      <c r="G291" s="97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99"/>
      <c r="B292" s="101" t="s">
        <v>817</v>
      </c>
      <c r="C292" s="95"/>
      <c r="D292" s="94"/>
      <c r="E292" s="94"/>
      <c r="F292" s="94"/>
      <c r="G292" s="97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93" t="s">
        <v>818</v>
      </c>
      <c r="B293" s="61" t="s">
        <v>819</v>
      </c>
      <c r="C293" s="95">
        <v>19.360000000000003</v>
      </c>
      <c r="D293" s="94">
        <v>6.0</v>
      </c>
      <c r="E293" s="94">
        <v>6.0</v>
      </c>
      <c r="F293" s="94">
        <v>288.0</v>
      </c>
      <c r="G293" s="97">
        <v>6.009608642173E12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93" t="s">
        <v>820</v>
      </c>
      <c r="B294" s="61" t="s">
        <v>821</v>
      </c>
      <c r="C294" s="95">
        <v>22.290000000000003</v>
      </c>
      <c r="D294" s="94">
        <v>6.0</v>
      </c>
      <c r="E294" s="94">
        <v>6.0</v>
      </c>
      <c r="F294" s="94">
        <v>288.0</v>
      </c>
      <c r="G294" s="97">
        <v>6.009608644962E12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93" t="s">
        <v>822</v>
      </c>
      <c r="B295" s="61" t="s">
        <v>823</v>
      </c>
      <c r="C295" s="95">
        <v>16.23</v>
      </c>
      <c r="D295" s="94">
        <v>6.0</v>
      </c>
      <c r="E295" s="94">
        <v>6.0</v>
      </c>
      <c r="F295" s="94">
        <v>288.0</v>
      </c>
      <c r="G295" s="97">
        <v>6.009608641701E12</v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93" t="s">
        <v>824</v>
      </c>
      <c r="B296" s="61" t="s">
        <v>825</v>
      </c>
      <c r="C296" s="95">
        <v>18.540000000000003</v>
      </c>
      <c r="D296" s="94">
        <v>6.0</v>
      </c>
      <c r="E296" s="94">
        <v>6.0</v>
      </c>
      <c r="F296" s="94">
        <v>288.0</v>
      </c>
      <c r="G296" s="97">
        <v>6.009608641718E12</v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93" t="s">
        <v>826</v>
      </c>
      <c r="B297" s="61" t="s">
        <v>827</v>
      </c>
      <c r="C297" s="95">
        <v>23.69</v>
      </c>
      <c r="D297" s="94">
        <v>6.0</v>
      </c>
      <c r="E297" s="94">
        <v>6.0</v>
      </c>
      <c r="F297" s="94">
        <v>288.0</v>
      </c>
      <c r="G297" s="97">
        <v>6.009698067177E12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93" t="s">
        <v>828</v>
      </c>
      <c r="B298" s="61" t="s">
        <v>829</v>
      </c>
      <c r="C298" s="95">
        <v>46.739999999999995</v>
      </c>
      <c r="D298" s="94">
        <v>6.0</v>
      </c>
      <c r="E298" s="94">
        <v>6.0</v>
      </c>
      <c r="F298" s="94">
        <v>120.0</v>
      </c>
      <c r="G298" s="97">
        <v>6.009685854285E12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93" t="s">
        <v>830</v>
      </c>
      <c r="B299" s="61" t="s">
        <v>831</v>
      </c>
      <c r="C299" s="95">
        <v>64.4</v>
      </c>
      <c r="D299" s="94">
        <v>6.0</v>
      </c>
      <c r="E299" s="94">
        <v>6.0</v>
      </c>
      <c r="F299" s="94">
        <v>120.0</v>
      </c>
      <c r="G299" s="97">
        <v>6.009635844533E12</v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93" t="s">
        <v>832</v>
      </c>
      <c r="B300" s="61" t="s">
        <v>833</v>
      </c>
      <c r="C300" s="95">
        <v>10.82</v>
      </c>
      <c r="D300" s="94">
        <v>12.0</v>
      </c>
      <c r="E300" s="94">
        <v>12.0</v>
      </c>
      <c r="F300" s="94">
        <v>360.0</v>
      </c>
      <c r="G300" s="97">
        <v>6.00960864458E12</v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93" t="s">
        <v>834</v>
      </c>
      <c r="B301" s="61" t="s">
        <v>835</v>
      </c>
      <c r="C301" s="95">
        <v>15.44</v>
      </c>
      <c r="D301" s="94">
        <v>12.0</v>
      </c>
      <c r="E301" s="94">
        <v>12.0</v>
      </c>
      <c r="F301" s="94">
        <v>288.0</v>
      </c>
      <c r="G301" s="97">
        <v>6.009608644603E12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93" t="s">
        <v>836</v>
      </c>
      <c r="B302" s="61" t="s">
        <v>837</v>
      </c>
      <c r="C302" s="95">
        <v>16.17</v>
      </c>
      <c r="D302" s="94">
        <v>12.0</v>
      </c>
      <c r="E302" s="94">
        <v>12.0</v>
      </c>
      <c r="F302" s="94">
        <v>288.0</v>
      </c>
      <c r="G302" s="97">
        <v>6.009608644627E12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93" t="s">
        <v>838</v>
      </c>
      <c r="B303" s="61" t="s">
        <v>839</v>
      </c>
      <c r="C303" s="95">
        <v>42.47</v>
      </c>
      <c r="D303" s="94">
        <v>6.0</v>
      </c>
      <c r="E303" s="94">
        <v>6.0</v>
      </c>
      <c r="F303" s="94">
        <v>144.0</v>
      </c>
      <c r="G303" s="97">
        <v>6.009699518937E12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93" t="s">
        <v>840</v>
      </c>
      <c r="B304" s="61" t="s">
        <v>841</v>
      </c>
      <c r="C304" s="95">
        <v>11.98</v>
      </c>
      <c r="D304" s="94">
        <v>6.0</v>
      </c>
      <c r="E304" s="94">
        <v>6.0</v>
      </c>
      <c r="F304" s="94">
        <v>144.0</v>
      </c>
      <c r="G304" s="97">
        <v>6.009699518975E12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45" t="s">
        <v>842</v>
      </c>
      <c r="B305" s="59" t="s">
        <v>843</v>
      </c>
      <c r="C305" s="95">
        <v>39.0</v>
      </c>
      <c r="D305" s="94">
        <v>6.0</v>
      </c>
      <c r="E305" s="145">
        <v>6.0</v>
      </c>
      <c r="F305" s="145">
        <v>144.0</v>
      </c>
      <c r="G305" s="146" t="s">
        <v>844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45" t="s">
        <v>845</v>
      </c>
      <c r="B306" s="59" t="s">
        <v>846</v>
      </c>
      <c r="C306" s="95">
        <v>52.26</v>
      </c>
      <c r="D306" s="94">
        <v>6.0</v>
      </c>
      <c r="E306" s="145">
        <v>6.0</v>
      </c>
      <c r="F306" s="145">
        <v>144.0</v>
      </c>
      <c r="G306" s="146" t="s">
        <v>847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45" t="s">
        <v>848</v>
      </c>
      <c r="B307" s="59" t="s">
        <v>849</v>
      </c>
      <c r="C307" s="95">
        <v>14.19</v>
      </c>
      <c r="D307" s="94">
        <v>6.0</v>
      </c>
      <c r="E307" s="145">
        <v>6.0</v>
      </c>
      <c r="F307" s="145">
        <v>144.0</v>
      </c>
      <c r="G307" s="146" t="s">
        <v>850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104"/>
      <c r="B308" s="105"/>
      <c r="C308" s="107"/>
      <c r="D308" s="106"/>
      <c r="E308" s="106"/>
      <c r="F308" s="106"/>
      <c r="G308" s="10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136"/>
      <c r="B309" s="137" t="s">
        <v>105</v>
      </c>
      <c r="C309" s="142"/>
      <c r="D309" s="139"/>
      <c r="E309" s="139"/>
      <c r="F309" s="139"/>
      <c r="G309" s="14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93" t="s">
        <v>851</v>
      </c>
      <c r="B310" s="61" t="s">
        <v>852</v>
      </c>
      <c r="C310" s="95">
        <v>17.040000000000003</v>
      </c>
      <c r="D310" s="94">
        <v>6.0</v>
      </c>
      <c r="E310" s="94">
        <v>6.0</v>
      </c>
      <c r="F310" s="94">
        <v>120.0</v>
      </c>
      <c r="G310" s="97">
        <v>6.009685850041E12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45" t="s">
        <v>853</v>
      </c>
      <c r="B311" s="61" t="s">
        <v>854</v>
      </c>
      <c r="C311" s="95">
        <v>17.040000000000003</v>
      </c>
      <c r="D311" s="94">
        <v>6.0</v>
      </c>
      <c r="E311" s="94">
        <v>6.0</v>
      </c>
      <c r="F311" s="94">
        <v>120.0</v>
      </c>
      <c r="G311" s="97">
        <v>6.009685850065E12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93" t="s">
        <v>855</v>
      </c>
      <c r="B312" s="61" t="s">
        <v>856</v>
      </c>
      <c r="C312" s="95">
        <v>2.8899999999999997</v>
      </c>
      <c r="D312" s="94">
        <v>72.0</v>
      </c>
      <c r="E312" s="94">
        <v>72.0</v>
      </c>
      <c r="F312" s="94">
        <v>1440.0</v>
      </c>
      <c r="G312" s="97">
        <v>6.009697795989E12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93" t="s">
        <v>857</v>
      </c>
      <c r="B313" s="61" t="s">
        <v>858</v>
      </c>
      <c r="C313" s="95">
        <v>47.22</v>
      </c>
      <c r="D313" s="94">
        <v>1.0</v>
      </c>
      <c r="E313" s="94">
        <v>6.0</v>
      </c>
      <c r="F313" s="94">
        <v>72.0</v>
      </c>
      <c r="G313" s="97">
        <v>6.009608641213E12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93" t="s">
        <v>859</v>
      </c>
      <c r="B314" s="61" t="s">
        <v>860</v>
      </c>
      <c r="C314" s="95">
        <v>11.85</v>
      </c>
      <c r="D314" s="94">
        <v>12.0</v>
      </c>
      <c r="E314" s="94">
        <v>12.0</v>
      </c>
      <c r="F314" s="94">
        <v>144.0</v>
      </c>
      <c r="G314" s="97">
        <v>6.009698066385E12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93" t="s">
        <v>861</v>
      </c>
      <c r="B315" s="61" t="s">
        <v>862</v>
      </c>
      <c r="C315" s="95">
        <v>0.76</v>
      </c>
      <c r="D315" s="94">
        <v>432.0</v>
      </c>
      <c r="E315" s="94">
        <v>432.0</v>
      </c>
      <c r="F315" s="94">
        <v>4320.0</v>
      </c>
      <c r="G315" s="97" t="s">
        <v>213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93" t="s">
        <v>863</v>
      </c>
      <c r="B316" s="61" t="s">
        <v>864</v>
      </c>
      <c r="C316" s="95">
        <v>25.7</v>
      </c>
      <c r="D316" s="94">
        <v>6.0</v>
      </c>
      <c r="E316" s="94">
        <v>6.0</v>
      </c>
      <c r="F316" s="94">
        <v>120.0</v>
      </c>
      <c r="G316" s="97">
        <v>6.009699510849E12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93" t="s">
        <v>865</v>
      </c>
      <c r="B317" s="61" t="s">
        <v>866</v>
      </c>
      <c r="C317" s="95">
        <v>25.7</v>
      </c>
      <c r="D317" s="94">
        <v>6.0</v>
      </c>
      <c r="E317" s="94">
        <v>6.0</v>
      </c>
      <c r="F317" s="94">
        <v>120.0</v>
      </c>
      <c r="G317" s="97">
        <v>6.009699510825E12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93" t="s">
        <v>867</v>
      </c>
      <c r="B318" s="61" t="s">
        <v>868</v>
      </c>
      <c r="C318" s="95">
        <v>25.7</v>
      </c>
      <c r="D318" s="94">
        <v>6.0</v>
      </c>
      <c r="E318" s="94">
        <v>6.0</v>
      </c>
      <c r="F318" s="94">
        <v>120.0</v>
      </c>
      <c r="G318" s="97">
        <v>6.009699513741E12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93" t="s">
        <v>869</v>
      </c>
      <c r="B319" s="61" t="s">
        <v>870</v>
      </c>
      <c r="C319" s="95">
        <v>36.58</v>
      </c>
      <c r="D319" s="94">
        <v>12.0</v>
      </c>
      <c r="E319" s="94">
        <v>12.0</v>
      </c>
      <c r="F319" s="94">
        <v>144.0</v>
      </c>
      <c r="G319" s="97">
        <v>6.009699510054E12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93" t="s">
        <v>871</v>
      </c>
      <c r="B320" s="61" t="s">
        <v>872</v>
      </c>
      <c r="C320" s="95">
        <v>9.83</v>
      </c>
      <c r="D320" s="94">
        <v>24.0</v>
      </c>
      <c r="E320" s="94">
        <v>24.0</v>
      </c>
      <c r="F320" s="94">
        <v>288.0</v>
      </c>
      <c r="G320" s="97">
        <v>6.00968585001E12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45" t="s">
        <v>873</v>
      </c>
      <c r="B321" s="61" t="s">
        <v>874</v>
      </c>
      <c r="C321" s="95">
        <v>9.83</v>
      </c>
      <c r="D321" s="94">
        <v>24.0</v>
      </c>
      <c r="E321" s="94">
        <v>24.0</v>
      </c>
      <c r="F321" s="94">
        <v>288.0</v>
      </c>
      <c r="G321" s="97">
        <v>6.009685850034E12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93" t="s">
        <v>875</v>
      </c>
      <c r="B322" s="61" t="s">
        <v>876</v>
      </c>
      <c r="C322" s="95">
        <v>11.78</v>
      </c>
      <c r="D322" s="94">
        <v>12.0</v>
      </c>
      <c r="E322" s="94">
        <v>12.0</v>
      </c>
      <c r="F322" s="94">
        <v>288.0</v>
      </c>
      <c r="G322" s="97">
        <v>6.009699510788E12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93" t="s">
        <v>877</v>
      </c>
      <c r="B323" s="61" t="s">
        <v>878</v>
      </c>
      <c r="C323" s="95">
        <v>11.78</v>
      </c>
      <c r="D323" s="94">
        <v>12.0</v>
      </c>
      <c r="E323" s="94">
        <v>12.0</v>
      </c>
      <c r="F323" s="94">
        <v>288.0</v>
      </c>
      <c r="G323" s="97">
        <v>6.009699510801E12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93" t="s">
        <v>879</v>
      </c>
      <c r="B324" s="61" t="s">
        <v>880</v>
      </c>
      <c r="C324" s="95">
        <v>11.78</v>
      </c>
      <c r="D324" s="94">
        <v>12.0</v>
      </c>
      <c r="E324" s="94">
        <v>12.0</v>
      </c>
      <c r="F324" s="94">
        <v>288.0</v>
      </c>
      <c r="G324" s="97">
        <v>6.009699513727E12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93" t="s">
        <v>881</v>
      </c>
      <c r="B325" s="61" t="s">
        <v>882</v>
      </c>
      <c r="C325" s="95">
        <v>17.26</v>
      </c>
      <c r="D325" s="94">
        <v>12.0</v>
      </c>
      <c r="E325" s="94">
        <v>12.0</v>
      </c>
      <c r="F325" s="94">
        <v>288.0</v>
      </c>
      <c r="G325" s="97">
        <v>6.009685850102E12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93" t="s">
        <v>883</v>
      </c>
      <c r="B326" s="61" t="s">
        <v>884</v>
      </c>
      <c r="C326" s="95">
        <v>98.68</v>
      </c>
      <c r="D326" s="94">
        <v>1.0</v>
      </c>
      <c r="E326" s="94" t="s">
        <v>213</v>
      </c>
      <c r="F326" s="94">
        <v>30.0</v>
      </c>
      <c r="G326" s="97">
        <v>6.009635836422E12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93" t="s">
        <v>885</v>
      </c>
      <c r="B327" s="61" t="s">
        <v>886</v>
      </c>
      <c r="C327" s="95">
        <v>9.56</v>
      </c>
      <c r="D327" s="94">
        <v>12.0</v>
      </c>
      <c r="E327" s="94">
        <v>12.0</v>
      </c>
      <c r="F327" s="94">
        <v>240.0</v>
      </c>
      <c r="G327" s="97">
        <v>6.009608641251E12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93" t="s">
        <v>887</v>
      </c>
      <c r="B328" s="61" t="s">
        <v>888</v>
      </c>
      <c r="C328" s="95">
        <v>4.2299999999999995</v>
      </c>
      <c r="D328" s="94">
        <v>24.0</v>
      </c>
      <c r="E328" s="94">
        <v>24.0</v>
      </c>
      <c r="F328" s="94">
        <v>480.0</v>
      </c>
      <c r="G328" s="97">
        <v>6.009608640353E12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93" t="s">
        <v>889</v>
      </c>
      <c r="B329" s="61" t="s">
        <v>890</v>
      </c>
      <c r="C329" s="95">
        <v>12.23</v>
      </c>
      <c r="D329" s="94">
        <v>12.0</v>
      </c>
      <c r="E329" s="94">
        <v>12.0</v>
      </c>
      <c r="F329" s="94">
        <v>288.0</v>
      </c>
      <c r="G329" s="97">
        <v>6.009635844878E12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93" t="s">
        <v>891</v>
      </c>
      <c r="B330" s="61" t="s">
        <v>892</v>
      </c>
      <c r="C330" s="95">
        <v>14.7</v>
      </c>
      <c r="D330" s="94">
        <v>12.0</v>
      </c>
      <c r="E330" s="94">
        <v>12.0</v>
      </c>
      <c r="F330" s="94">
        <v>144.0</v>
      </c>
      <c r="G330" s="97">
        <v>6.009699513703E12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93" t="s">
        <v>893</v>
      </c>
      <c r="B331" s="61" t="s">
        <v>894</v>
      </c>
      <c r="C331" s="95">
        <v>20.0</v>
      </c>
      <c r="D331" s="94">
        <v>6.0</v>
      </c>
      <c r="E331" s="94">
        <v>6.0</v>
      </c>
      <c r="F331" s="94">
        <v>120.0</v>
      </c>
      <c r="G331" s="97">
        <v>6.009608649967E12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93" t="s">
        <v>895</v>
      </c>
      <c r="B332" s="61" t="s">
        <v>896</v>
      </c>
      <c r="C332" s="95">
        <v>11.29</v>
      </c>
      <c r="D332" s="94">
        <v>12.0</v>
      </c>
      <c r="E332" s="94">
        <v>12.0</v>
      </c>
      <c r="F332" s="94">
        <v>144.0</v>
      </c>
      <c r="G332" s="97">
        <v>6.009697790045E12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45" t="s">
        <v>897</v>
      </c>
      <c r="B333" s="59" t="s">
        <v>898</v>
      </c>
      <c r="C333" s="95">
        <v>6.7299999999999995</v>
      </c>
      <c r="D333" s="94">
        <v>6.0</v>
      </c>
      <c r="E333" s="145">
        <v>6.0</v>
      </c>
      <c r="F333" s="145">
        <v>120.0</v>
      </c>
      <c r="G333" s="146" t="s">
        <v>899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45" t="s">
        <v>900</v>
      </c>
      <c r="B334" s="59" t="s">
        <v>901</v>
      </c>
      <c r="C334" s="95">
        <v>20.0</v>
      </c>
      <c r="D334" s="94">
        <v>6.0</v>
      </c>
      <c r="E334" s="145">
        <v>6.0</v>
      </c>
      <c r="F334" s="145">
        <v>120.0</v>
      </c>
      <c r="G334" s="146" t="s">
        <v>902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45" t="s">
        <v>903</v>
      </c>
      <c r="B335" s="59" t="s">
        <v>904</v>
      </c>
      <c r="C335" s="95">
        <v>11.29</v>
      </c>
      <c r="D335" s="94">
        <v>12.0</v>
      </c>
      <c r="E335" s="145">
        <v>12.0</v>
      </c>
      <c r="F335" s="145">
        <v>144.0</v>
      </c>
      <c r="G335" s="146" t="s">
        <v>905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93"/>
      <c r="B336" s="61"/>
      <c r="C336" s="95"/>
      <c r="D336" s="94"/>
      <c r="E336" s="94"/>
      <c r="F336" s="94"/>
      <c r="G336" s="97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99"/>
      <c r="B337" s="101" t="s">
        <v>108</v>
      </c>
      <c r="C337" s="95"/>
      <c r="D337" s="94"/>
      <c r="E337" s="94"/>
      <c r="F337" s="94"/>
      <c r="G337" s="97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93" t="s">
        <v>906</v>
      </c>
      <c r="B338" s="61" t="s">
        <v>907</v>
      </c>
      <c r="C338" s="95">
        <v>14.2</v>
      </c>
      <c r="D338" s="94">
        <v>12.0</v>
      </c>
      <c r="E338" s="94">
        <v>12.0</v>
      </c>
      <c r="F338" s="94">
        <v>144.0</v>
      </c>
      <c r="G338" s="97">
        <v>6.009685854582E12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93" t="s">
        <v>908</v>
      </c>
      <c r="B339" s="61" t="s">
        <v>909</v>
      </c>
      <c r="C339" s="95">
        <v>12.93</v>
      </c>
      <c r="D339" s="94">
        <v>12.0</v>
      </c>
      <c r="E339" s="94">
        <v>12.0</v>
      </c>
      <c r="F339" s="94">
        <v>144.0</v>
      </c>
      <c r="G339" s="97">
        <v>6.009608648137E12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93" t="s">
        <v>910</v>
      </c>
      <c r="B340" s="61" t="s">
        <v>911</v>
      </c>
      <c r="C340" s="95">
        <v>11.78</v>
      </c>
      <c r="D340" s="94">
        <v>24.0</v>
      </c>
      <c r="E340" s="94">
        <v>24.0</v>
      </c>
      <c r="F340" s="94">
        <v>288.0</v>
      </c>
      <c r="G340" s="97">
        <v>6.009685855565E12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93" t="s">
        <v>912</v>
      </c>
      <c r="B341" s="61" t="s">
        <v>913</v>
      </c>
      <c r="C341" s="95">
        <v>19.180000000000003</v>
      </c>
      <c r="D341" s="94">
        <v>12.0</v>
      </c>
      <c r="E341" s="94">
        <v>12.0</v>
      </c>
      <c r="F341" s="94">
        <v>144.0</v>
      </c>
      <c r="G341" s="97">
        <v>6.009697790021E12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93"/>
      <c r="B342" s="61"/>
      <c r="C342" s="95"/>
      <c r="D342" s="94"/>
      <c r="E342" s="94"/>
      <c r="F342" s="94"/>
      <c r="G342" s="97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99"/>
      <c r="B343" s="101" t="s">
        <v>111</v>
      </c>
      <c r="C343" s="95"/>
      <c r="D343" s="94"/>
      <c r="E343" s="94"/>
      <c r="F343" s="94"/>
      <c r="G343" s="97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93" t="s">
        <v>914</v>
      </c>
      <c r="B344" s="61" t="s">
        <v>915</v>
      </c>
      <c r="C344" s="95">
        <v>9.95</v>
      </c>
      <c r="D344" s="94">
        <v>12.0</v>
      </c>
      <c r="E344" s="141">
        <v>12.0</v>
      </c>
      <c r="F344" s="141">
        <v>144.0</v>
      </c>
      <c r="G344" s="97">
        <v>6.009699515059E12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93" t="s">
        <v>916</v>
      </c>
      <c r="B345" s="61" t="s">
        <v>917</v>
      </c>
      <c r="C345" s="95">
        <v>9.95</v>
      </c>
      <c r="D345" s="94">
        <v>12.0</v>
      </c>
      <c r="E345" s="141">
        <v>12.0</v>
      </c>
      <c r="F345" s="141">
        <v>144.0</v>
      </c>
      <c r="G345" s="97">
        <v>6.009699515073E12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93" t="s">
        <v>918</v>
      </c>
      <c r="B346" s="61" t="s">
        <v>919</v>
      </c>
      <c r="C346" s="95">
        <v>9.95</v>
      </c>
      <c r="D346" s="94">
        <v>12.0</v>
      </c>
      <c r="E346" s="141">
        <v>12.0</v>
      </c>
      <c r="F346" s="141">
        <v>144.0</v>
      </c>
      <c r="G346" s="97">
        <v>6.009699515097E12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93" t="s">
        <v>920</v>
      </c>
      <c r="B347" s="61" t="s">
        <v>921</v>
      </c>
      <c r="C347" s="95">
        <v>24.040000000000003</v>
      </c>
      <c r="D347" s="94">
        <v>12.0</v>
      </c>
      <c r="E347" s="141">
        <v>12.0</v>
      </c>
      <c r="F347" s="141">
        <v>144.0</v>
      </c>
      <c r="G347" s="97">
        <v>6.009608648861E12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93" t="s">
        <v>922</v>
      </c>
      <c r="B348" s="61" t="s">
        <v>923</v>
      </c>
      <c r="C348" s="95">
        <v>31.880000000000003</v>
      </c>
      <c r="D348" s="94">
        <v>12.0</v>
      </c>
      <c r="E348" s="141">
        <v>12.0</v>
      </c>
      <c r="F348" s="141">
        <v>144.0</v>
      </c>
      <c r="G348" s="97">
        <v>6.009608648885E12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99"/>
      <c r="B349" s="61"/>
      <c r="C349" s="95"/>
      <c r="D349" s="94"/>
      <c r="E349" s="141"/>
      <c r="F349" s="141"/>
      <c r="G349" s="97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99"/>
      <c r="B350" s="101" t="s">
        <v>114</v>
      </c>
      <c r="C350" s="95"/>
      <c r="D350" s="94"/>
      <c r="E350" s="94"/>
      <c r="F350" s="94"/>
      <c r="G350" s="97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93" t="s">
        <v>924</v>
      </c>
      <c r="B351" s="61" t="s">
        <v>925</v>
      </c>
      <c r="C351" s="95">
        <v>15.58</v>
      </c>
      <c r="D351" s="94">
        <v>12.0</v>
      </c>
      <c r="E351" s="94">
        <v>12.0</v>
      </c>
      <c r="F351" s="94">
        <v>144.0</v>
      </c>
      <c r="G351" s="97">
        <v>6.009608642227E12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93" t="s">
        <v>926</v>
      </c>
      <c r="B352" s="61" t="s">
        <v>927</v>
      </c>
      <c r="C352" s="95">
        <v>15.58</v>
      </c>
      <c r="D352" s="94">
        <v>12.0</v>
      </c>
      <c r="E352" s="94">
        <v>12.0</v>
      </c>
      <c r="F352" s="94">
        <v>144.0</v>
      </c>
      <c r="G352" s="97">
        <v>6.009608642234E12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93" t="s">
        <v>928</v>
      </c>
      <c r="B353" s="61" t="s">
        <v>929</v>
      </c>
      <c r="C353" s="95">
        <v>15.58</v>
      </c>
      <c r="D353" s="94">
        <v>12.0</v>
      </c>
      <c r="E353" s="94">
        <v>12.0</v>
      </c>
      <c r="F353" s="94">
        <v>144.0</v>
      </c>
      <c r="G353" s="97">
        <v>6.009699512249E12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93" t="s">
        <v>930</v>
      </c>
      <c r="B354" s="61" t="s">
        <v>931</v>
      </c>
      <c r="C354" s="95">
        <v>23.28</v>
      </c>
      <c r="D354" s="94">
        <v>12.0</v>
      </c>
      <c r="E354" s="94">
        <v>12.0</v>
      </c>
      <c r="F354" s="94">
        <v>144.0</v>
      </c>
      <c r="G354" s="97">
        <v>6.009699516926E12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93" t="s">
        <v>932</v>
      </c>
      <c r="B355" s="61" t="s">
        <v>933</v>
      </c>
      <c r="C355" s="95">
        <v>23.28</v>
      </c>
      <c r="D355" s="94">
        <v>12.0</v>
      </c>
      <c r="E355" s="94">
        <v>12.0</v>
      </c>
      <c r="F355" s="94">
        <v>144.0</v>
      </c>
      <c r="G355" s="97">
        <v>6.009685856821E12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93" t="s">
        <v>934</v>
      </c>
      <c r="B356" s="61" t="s">
        <v>935</v>
      </c>
      <c r="C356" s="95">
        <v>23.28</v>
      </c>
      <c r="D356" s="94">
        <v>12.0</v>
      </c>
      <c r="E356" s="94">
        <v>12.0</v>
      </c>
      <c r="F356" s="94">
        <v>144.0</v>
      </c>
      <c r="G356" s="97">
        <v>6.009685856852E12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93" t="s">
        <v>936</v>
      </c>
      <c r="B357" s="61" t="s">
        <v>937</v>
      </c>
      <c r="C357" s="95">
        <v>11.629999999999999</v>
      </c>
      <c r="D357" s="94">
        <v>12.0</v>
      </c>
      <c r="E357" s="94">
        <v>12.0</v>
      </c>
      <c r="F357" s="94">
        <v>144.0</v>
      </c>
      <c r="G357" s="97">
        <v>6.009635843598E12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93" t="s">
        <v>938</v>
      </c>
      <c r="B358" s="61" t="s">
        <v>939</v>
      </c>
      <c r="C358" s="95">
        <v>11.629999999999999</v>
      </c>
      <c r="D358" s="94">
        <v>12.0</v>
      </c>
      <c r="E358" s="94">
        <v>12.0</v>
      </c>
      <c r="F358" s="94">
        <v>144.0</v>
      </c>
      <c r="G358" s="97">
        <v>6.009635843567E12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93" t="s">
        <v>940</v>
      </c>
      <c r="B359" s="61" t="s">
        <v>941</v>
      </c>
      <c r="C359" s="95">
        <v>11.629999999999999</v>
      </c>
      <c r="D359" s="94">
        <v>12.0</v>
      </c>
      <c r="E359" s="94">
        <v>12.0</v>
      </c>
      <c r="F359" s="94">
        <v>144.0</v>
      </c>
      <c r="G359" s="97">
        <v>6.009635843628E12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93"/>
      <c r="B360" s="61"/>
      <c r="C360" s="95"/>
      <c r="D360" s="94"/>
      <c r="E360" s="94"/>
      <c r="F360" s="94"/>
      <c r="G360" s="97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93"/>
      <c r="B361" s="61"/>
      <c r="C361" s="95"/>
      <c r="D361" s="94"/>
      <c r="E361" s="94"/>
      <c r="F361" s="94"/>
      <c r="G361" s="97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93"/>
      <c r="B362" s="61"/>
      <c r="C362" s="95"/>
      <c r="D362" s="94"/>
      <c r="E362" s="94"/>
      <c r="F362" s="94"/>
      <c r="G362" s="97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93"/>
      <c r="B363" s="61"/>
      <c r="C363" s="95"/>
      <c r="D363" s="94"/>
      <c r="E363" s="94"/>
      <c r="F363" s="94"/>
      <c r="G363" s="97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93"/>
      <c r="B364" s="61"/>
      <c r="C364" s="95"/>
      <c r="D364" s="94"/>
      <c r="E364" s="94"/>
      <c r="F364" s="94"/>
      <c r="G364" s="97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93"/>
      <c r="B365" s="61"/>
      <c r="C365" s="95"/>
      <c r="D365" s="94"/>
      <c r="E365" s="94"/>
      <c r="F365" s="94"/>
      <c r="G365" s="97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93"/>
      <c r="B366" s="61"/>
      <c r="C366" s="95"/>
      <c r="D366" s="94"/>
      <c r="E366" s="94"/>
      <c r="F366" s="94"/>
      <c r="G366" s="97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99"/>
      <c r="B367" s="61"/>
      <c r="C367" s="95"/>
      <c r="D367" s="94"/>
      <c r="E367" s="94"/>
      <c r="F367" s="94"/>
      <c r="G367" s="97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150"/>
      <c r="B368" s="105"/>
      <c r="C368" s="107"/>
      <c r="D368" s="106"/>
      <c r="E368" s="106"/>
      <c r="F368" s="106"/>
      <c r="G368" s="10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110"/>
      <c r="B369" s="88" t="s">
        <v>117</v>
      </c>
      <c r="C369" s="111"/>
      <c r="D369" s="89"/>
      <c r="E369" s="89"/>
      <c r="F369" s="89"/>
      <c r="G369" s="92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93" t="s">
        <v>942</v>
      </c>
      <c r="B370" s="61" t="s">
        <v>943</v>
      </c>
      <c r="C370" s="95">
        <v>10.15</v>
      </c>
      <c r="D370" s="94">
        <v>12.0</v>
      </c>
      <c r="E370" s="94">
        <v>12.0</v>
      </c>
      <c r="F370" s="94">
        <v>144.0</v>
      </c>
      <c r="G370" s="97">
        <v>6.009635843444E12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93" t="s">
        <v>944</v>
      </c>
      <c r="B371" s="61" t="s">
        <v>945</v>
      </c>
      <c r="C371" s="95">
        <v>10.15</v>
      </c>
      <c r="D371" s="94">
        <v>12.0</v>
      </c>
      <c r="E371" s="94">
        <v>12.0</v>
      </c>
      <c r="F371" s="94">
        <v>144.0</v>
      </c>
      <c r="G371" s="97">
        <v>6.009685854438E12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115" t="s">
        <v>946</v>
      </c>
      <c r="B372" s="61" t="s">
        <v>947</v>
      </c>
      <c r="C372" s="95">
        <v>22.64</v>
      </c>
      <c r="D372" s="94">
        <v>12.0</v>
      </c>
      <c r="E372" s="94">
        <v>12.0</v>
      </c>
      <c r="F372" s="94">
        <v>144.0</v>
      </c>
      <c r="G372" s="97">
        <v>6.009697790458E12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115" t="s">
        <v>948</v>
      </c>
      <c r="B373" s="61" t="s">
        <v>949</v>
      </c>
      <c r="C373" s="95">
        <v>22.64</v>
      </c>
      <c r="D373" s="94">
        <v>12.0</v>
      </c>
      <c r="E373" s="94">
        <v>12.0</v>
      </c>
      <c r="F373" s="94">
        <v>144.0</v>
      </c>
      <c r="G373" s="97">
        <v>6.009697790472E12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115" t="s">
        <v>950</v>
      </c>
      <c r="B374" s="61" t="s">
        <v>951</v>
      </c>
      <c r="C374" s="95">
        <v>22.64</v>
      </c>
      <c r="D374" s="94">
        <v>12.0</v>
      </c>
      <c r="E374" s="94">
        <v>12.0</v>
      </c>
      <c r="F374" s="94">
        <v>144.0</v>
      </c>
      <c r="G374" s="97">
        <v>6.009697790496E12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115" t="s">
        <v>952</v>
      </c>
      <c r="B375" s="61" t="s">
        <v>953</v>
      </c>
      <c r="C375" s="95">
        <v>22.64</v>
      </c>
      <c r="D375" s="94">
        <v>12.0</v>
      </c>
      <c r="E375" s="94">
        <v>12.0</v>
      </c>
      <c r="F375" s="94">
        <v>144.0</v>
      </c>
      <c r="G375" s="97">
        <v>6.009697790519E12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115" t="s">
        <v>954</v>
      </c>
      <c r="B376" s="61" t="s">
        <v>955</v>
      </c>
      <c r="C376" s="95">
        <v>15.54</v>
      </c>
      <c r="D376" s="94">
        <v>12.0</v>
      </c>
      <c r="E376" s="94">
        <v>12.0</v>
      </c>
      <c r="F376" s="94">
        <v>144.0</v>
      </c>
      <c r="G376" s="97">
        <v>6.009697790533E12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115" t="s">
        <v>956</v>
      </c>
      <c r="B377" s="61" t="s">
        <v>957</v>
      </c>
      <c r="C377" s="95">
        <v>15.54</v>
      </c>
      <c r="D377" s="94">
        <v>12.0</v>
      </c>
      <c r="E377" s="94">
        <v>12.0</v>
      </c>
      <c r="F377" s="94">
        <v>144.0</v>
      </c>
      <c r="G377" s="97">
        <v>6.009697790557E12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115"/>
      <c r="B378" s="61"/>
      <c r="C378" s="95"/>
      <c r="D378" s="94"/>
      <c r="E378" s="94"/>
      <c r="F378" s="94"/>
      <c r="G378" s="97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99"/>
      <c r="B379" s="101" t="s">
        <v>123</v>
      </c>
      <c r="C379" s="95"/>
      <c r="D379" s="94"/>
      <c r="E379" s="94"/>
      <c r="F379" s="94"/>
      <c r="G379" s="97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93" t="s">
        <v>958</v>
      </c>
      <c r="B380" s="61" t="s">
        <v>959</v>
      </c>
      <c r="C380" s="95">
        <v>66.67</v>
      </c>
      <c r="D380" s="94">
        <v>1.0</v>
      </c>
      <c r="E380" s="94">
        <v>10.0</v>
      </c>
      <c r="F380" s="94">
        <v>40.0</v>
      </c>
      <c r="G380" s="97">
        <v>6.009608641879E12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93" t="s">
        <v>960</v>
      </c>
      <c r="B381" s="61" t="s">
        <v>961</v>
      </c>
      <c r="C381" s="95">
        <v>1.12</v>
      </c>
      <c r="D381" s="94">
        <v>100.0</v>
      </c>
      <c r="E381" s="94">
        <v>1000.0</v>
      </c>
      <c r="F381" s="94">
        <v>4000.0</v>
      </c>
      <c r="G381" s="97" t="s">
        <v>962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93" t="s">
        <v>963</v>
      </c>
      <c r="B382" s="61" t="s">
        <v>964</v>
      </c>
      <c r="C382" s="95">
        <v>66.67</v>
      </c>
      <c r="D382" s="94">
        <v>1.0</v>
      </c>
      <c r="E382" s="94">
        <v>10.0</v>
      </c>
      <c r="F382" s="94">
        <v>40.0</v>
      </c>
      <c r="G382" s="97">
        <v>6.009608641886E12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93" t="s">
        <v>965</v>
      </c>
      <c r="B383" s="61" t="s">
        <v>966</v>
      </c>
      <c r="C383" s="95">
        <v>66.67</v>
      </c>
      <c r="D383" s="94">
        <v>1.0</v>
      </c>
      <c r="E383" s="94">
        <v>10.0</v>
      </c>
      <c r="F383" s="94">
        <v>40.0</v>
      </c>
      <c r="G383" s="97">
        <v>6.009608641893E12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45" t="s">
        <v>967</v>
      </c>
      <c r="B384" s="59" t="s">
        <v>968</v>
      </c>
      <c r="C384" s="95">
        <v>31.69</v>
      </c>
      <c r="D384" s="145">
        <v>10.0</v>
      </c>
      <c r="E384" s="145">
        <v>10.0</v>
      </c>
      <c r="F384" s="145">
        <v>40.0</v>
      </c>
      <c r="G384" s="146" t="s">
        <v>969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45" t="s">
        <v>970</v>
      </c>
      <c r="B385" s="59" t="s">
        <v>971</v>
      </c>
      <c r="C385" s="95">
        <v>31.69</v>
      </c>
      <c r="D385" s="145">
        <v>10.0</v>
      </c>
      <c r="E385" s="145">
        <v>10.0</v>
      </c>
      <c r="F385" s="145">
        <v>40.0</v>
      </c>
      <c r="G385" s="146" t="s">
        <v>972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93" t="s">
        <v>973</v>
      </c>
      <c r="B386" s="61" t="s">
        <v>974</v>
      </c>
      <c r="C386" s="95">
        <v>19.87</v>
      </c>
      <c r="D386" s="94">
        <v>12.0</v>
      </c>
      <c r="E386" s="94">
        <v>12.0</v>
      </c>
      <c r="F386" s="94">
        <v>144.0</v>
      </c>
      <c r="G386" s="97">
        <v>6.009608647918E12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93" t="s">
        <v>975</v>
      </c>
      <c r="B387" s="59" t="s">
        <v>976</v>
      </c>
      <c r="C387" s="95">
        <v>19.87</v>
      </c>
      <c r="D387" s="94">
        <v>12.0</v>
      </c>
      <c r="E387" s="94">
        <v>12.0</v>
      </c>
      <c r="F387" s="94">
        <v>144.0</v>
      </c>
      <c r="G387" s="97">
        <v>6.009685850164E12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93" t="s">
        <v>977</v>
      </c>
      <c r="B388" s="61" t="s">
        <v>978</v>
      </c>
      <c r="C388" s="95">
        <v>19.87</v>
      </c>
      <c r="D388" s="94">
        <v>12.0</v>
      </c>
      <c r="E388" s="94">
        <v>12.0</v>
      </c>
      <c r="F388" s="94">
        <v>144.0</v>
      </c>
      <c r="G388" s="97">
        <v>6.009698064008E12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93" t="s">
        <v>979</v>
      </c>
      <c r="B389" s="61" t="s">
        <v>980</v>
      </c>
      <c r="C389" s="95">
        <v>19.87</v>
      </c>
      <c r="D389" s="94">
        <v>12.0</v>
      </c>
      <c r="E389" s="94">
        <v>12.0</v>
      </c>
      <c r="F389" s="94">
        <v>144.0</v>
      </c>
      <c r="G389" s="97">
        <v>6.009608647925E12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93" t="s">
        <v>981</v>
      </c>
      <c r="B390" s="61" t="s">
        <v>982</v>
      </c>
      <c r="C390" s="95">
        <v>14.07</v>
      </c>
      <c r="D390" s="94">
        <v>12.0</v>
      </c>
      <c r="E390" s="94">
        <v>12.0</v>
      </c>
      <c r="F390" s="94">
        <v>144.0</v>
      </c>
      <c r="G390" s="97">
        <v>6.009608645303E12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93" t="s">
        <v>983</v>
      </c>
      <c r="B391" s="61" t="s">
        <v>984</v>
      </c>
      <c r="C391" s="95">
        <v>8.66</v>
      </c>
      <c r="D391" s="94">
        <v>12.0</v>
      </c>
      <c r="E391" s="94">
        <v>12.0</v>
      </c>
      <c r="F391" s="94">
        <v>144.0</v>
      </c>
      <c r="G391" s="97">
        <v>6.009685850485E12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112" t="s">
        <v>985</v>
      </c>
      <c r="B392" s="61" t="s">
        <v>986</v>
      </c>
      <c r="C392" s="95">
        <v>8.66</v>
      </c>
      <c r="D392" s="94">
        <v>12.0</v>
      </c>
      <c r="E392" s="94">
        <v>12.0</v>
      </c>
      <c r="F392" s="94">
        <v>144.0</v>
      </c>
      <c r="G392" s="97">
        <v>6.009608641824E12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93" t="s">
        <v>987</v>
      </c>
      <c r="B393" s="61" t="s">
        <v>988</v>
      </c>
      <c r="C393" s="95">
        <v>8.66</v>
      </c>
      <c r="D393" s="94">
        <v>12.0</v>
      </c>
      <c r="E393" s="94">
        <v>12.0</v>
      </c>
      <c r="F393" s="94">
        <v>144.0</v>
      </c>
      <c r="G393" s="97">
        <v>6.009608641817E12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93" t="s">
        <v>989</v>
      </c>
      <c r="B394" s="61" t="s">
        <v>990</v>
      </c>
      <c r="C394" s="95">
        <v>8.66</v>
      </c>
      <c r="D394" s="94">
        <v>12.0</v>
      </c>
      <c r="E394" s="94">
        <v>12.0</v>
      </c>
      <c r="F394" s="94">
        <v>144.0</v>
      </c>
      <c r="G394" s="97">
        <v>6.009635840283E12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115" t="s">
        <v>991</v>
      </c>
      <c r="B395" s="61" t="s">
        <v>992</v>
      </c>
      <c r="C395" s="95">
        <v>9.78</v>
      </c>
      <c r="D395" s="94">
        <v>12.0</v>
      </c>
      <c r="E395" s="94">
        <v>12.0</v>
      </c>
      <c r="F395" s="94">
        <v>144.0</v>
      </c>
      <c r="G395" s="97">
        <v>6.009697790571E12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115" t="s">
        <v>993</v>
      </c>
      <c r="B396" s="61" t="s">
        <v>994</v>
      </c>
      <c r="C396" s="95">
        <v>28.360000000000003</v>
      </c>
      <c r="D396" s="94">
        <v>12.0</v>
      </c>
      <c r="E396" s="94">
        <v>12.0</v>
      </c>
      <c r="F396" s="94">
        <v>144.0</v>
      </c>
      <c r="G396" s="97">
        <v>6.009697790595E12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115" t="s">
        <v>995</v>
      </c>
      <c r="B397" s="61" t="s">
        <v>996</v>
      </c>
      <c r="C397" s="95">
        <v>13.73</v>
      </c>
      <c r="D397" s="94">
        <v>12.0</v>
      </c>
      <c r="E397" s="94">
        <v>12.0</v>
      </c>
      <c r="F397" s="94">
        <v>144.0</v>
      </c>
      <c r="G397" s="97">
        <v>6.00969779041E12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115" t="s">
        <v>997</v>
      </c>
      <c r="B398" s="61" t="s">
        <v>998</v>
      </c>
      <c r="C398" s="95">
        <v>13.73</v>
      </c>
      <c r="D398" s="94">
        <v>12.0</v>
      </c>
      <c r="E398" s="94">
        <v>12.0</v>
      </c>
      <c r="F398" s="94">
        <v>144.0</v>
      </c>
      <c r="G398" s="97">
        <v>6.009697790434E12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45" t="s">
        <v>999</v>
      </c>
      <c r="B399" s="61" t="s">
        <v>1000</v>
      </c>
      <c r="C399" s="95">
        <v>13.42</v>
      </c>
      <c r="D399" s="94">
        <v>12.0</v>
      </c>
      <c r="E399" s="94">
        <v>12.0</v>
      </c>
      <c r="F399" s="94">
        <v>144.0</v>
      </c>
      <c r="G399" s="97">
        <v>6.009699516964E12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45" t="s">
        <v>1001</v>
      </c>
      <c r="B400" s="61" t="s">
        <v>1002</v>
      </c>
      <c r="C400" s="95">
        <v>13.42</v>
      </c>
      <c r="D400" s="94">
        <v>12.0</v>
      </c>
      <c r="E400" s="94">
        <v>12.0</v>
      </c>
      <c r="F400" s="94">
        <v>144.0</v>
      </c>
      <c r="G400" s="97">
        <v>6.009699519651E12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45" t="s">
        <v>1003</v>
      </c>
      <c r="B401" s="59" t="s">
        <v>1004</v>
      </c>
      <c r="C401" s="95">
        <v>13.42</v>
      </c>
      <c r="D401" s="145">
        <v>12.0</v>
      </c>
      <c r="E401" s="145">
        <v>12.0</v>
      </c>
      <c r="F401" s="145">
        <v>144.0</v>
      </c>
      <c r="G401" s="146" t="s">
        <v>1005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45" t="s">
        <v>1006</v>
      </c>
      <c r="B402" s="59" t="s">
        <v>1007</v>
      </c>
      <c r="C402" s="95">
        <v>13.5</v>
      </c>
      <c r="D402" s="145">
        <v>12.0</v>
      </c>
      <c r="E402" s="145">
        <v>12.0</v>
      </c>
      <c r="F402" s="145">
        <v>144.0</v>
      </c>
      <c r="G402" s="146" t="s">
        <v>1008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45" t="s">
        <v>1009</v>
      </c>
      <c r="B403" s="59" t="s">
        <v>1010</v>
      </c>
      <c r="C403" s="95">
        <v>13.5</v>
      </c>
      <c r="D403" s="145">
        <v>12.0</v>
      </c>
      <c r="E403" s="145">
        <v>12.0</v>
      </c>
      <c r="F403" s="145">
        <v>144.0</v>
      </c>
      <c r="G403" s="146" t="s">
        <v>1011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45" t="s">
        <v>1012</v>
      </c>
      <c r="B404" s="59" t="s">
        <v>1013</v>
      </c>
      <c r="C404" s="95">
        <v>16.87</v>
      </c>
      <c r="D404" s="145">
        <v>12.0</v>
      </c>
      <c r="E404" s="145">
        <v>12.0</v>
      </c>
      <c r="F404" s="145">
        <v>144.0</v>
      </c>
      <c r="G404" s="146" t="s">
        <v>1014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45"/>
      <c r="B405" s="61"/>
      <c r="C405" s="95"/>
      <c r="D405" s="94"/>
      <c r="E405" s="94"/>
      <c r="F405" s="94"/>
      <c r="G405" s="97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99"/>
      <c r="B406" s="101" t="s">
        <v>120</v>
      </c>
      <c r="C406" s="95"/>
      <c r="D406" s="94"/>
      <c r="E406" s="94"/>
      <c r="F406" s="94"/>
      <c r="G406" s="97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93" t="s">
        <v>1015</v>
      </c>
      <c r="B407" s="61" t="s">
        <v>1016</v>
      </c>
      <c r="C407" s="95">
        <v>8.959999999999999</v>
      </c>
      <c r="D407" s="94">
        <v>12.0</v>
      </c>
      <c r="E407" s="94">
        <v>12.0</v>
      </c>
      <c r="F407" s="94">
        <v>144.0</v>
      </c>
      <c r="G407" s="97">
        <v>6.00963584368E12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93" t="s">
        <v>1017</v>
      </c>
      <c r="B408" s="61" t="s">
        <v>1018</v>
      </c>
      <c r="C408" s="95">
        <v>8.959999999999999</v>
      </c>
      <c r="D408" s="94">
        <v>12.0</v>
      </c>
      <c r="E408" s="94">
        <v>12.0</v>
      </c>
      <c r="F408" s="94">
        <v>144.0</v>
      </c>
      <c r="G408" s="97">
        <v>6.009635843659E12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93" t="s">
        <v>1019</v>
      </c>
      <c r="B409" s="61" t="s">
        <v>1020</v>
      </c>
      <c r="C409" s="95">
        <v>8.959999999999999</v>
      </c>
      <c r="D409" s="94">
        <v>12.0</v>
      </c>
      <c r="E409" s="94">
        <v>12.0</v>
      </c>
      <c r="F409" s="94">
        <v>144.0</v>
      </c>
      <c r="G409" s="97">
        <v>6.00963584371E12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93"/>
      <c r="B410" s="61"/>
      <c r="C410" s="95"/>
      <c r="D410" s="94"/>
      <c r="E410" s="94"/>
      <c r="F410" s="94"/>
      <c r="G410" s="97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99"/>
      <c r="B411" s="101" t="s">
        <v>1021</v>
      </c>
      <c r="C411" s="95"/>
      <c r="D411" s="94"/>
      <c r="E411" s="94"/>
      <c r="F411" s="94"/>
      <c r="G411" s="97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93" t="s">
        <v>1022</v>
      </c>
      <c r="B412" s="61" t="s">
        <v>1023</v>
      </c>
      <c r="C412" s="95">
        <v>55.35</v>
      </c>
      <c r="D412" s="94">
        <v>3.0</v>
      </c>
      <c r="E412" s="94">
        <v>3.0</v>
      </c>
      <c r="F412" s="94">
        <v>12.0</v>
      </c>
      <c r="G412" s="97">
        <v>6.009699511105E12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93" t="s">
        <v>1024</v>
      </c>
      <c r="B413" s="61" t="s">
        <v>1025</v>
      </c>
      <c r="C413" s="95">
        <v>21.490000000000002</v>
      </c>
      <c r="D413" s="94">
        <v>12.0</v>
      </c>
      <c r="E413" s="94">
        <v>12.0</v>
      </c>
      <c r="F413" s="94">
        <v>72.0</v>
      </c>
      <c r="G413" s="97">
        <v>6.009699513925E12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93" t="s">
        <v>1026</v>
      </c>
      <c r="B414" s="61" t="s">
        <v>1027</v>
      </c>
      <c r="C414" s="95">
        <v>21.1</v>
      </c>
      <c r="D414" s="94">
        <v>12.0</v>
      </c>
      <c r="E414" s="94">
        <v>12.0</v>
      </c>
      <c r="F414" s="94">
        <v>48.0</v>
      </c>
      <c r="G414" s="97">
        <v>6.009699513949E12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93" t="s">
        <v>1028</v>
      </c>
      <c r="B415" s="153" t="s">
        <v>1029</v>
      </c>
      <c r="C415" s="95">
        <v>32.86</v>
      </c>
      <c r="D415" s="94">
        <v>12.0</v>
      </c>
      <c r="E415" s="141">
        <v>12.0</v>
      </c>
      <c r="F415" s="141">
        <v>36.0</v>
      </c>
      <c r="G415" s="97">
        <v>6.009608649066E12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93"/>
      <c r="B416" s="153"/>
      <c r="C416" s="95"/>
      <c r="D416" s="94"/>
      <c r="E416" s="141"/>
      <c r="F416" s="141"/>
      <c r="G416" s="97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99"/>
      <c r="B417" s="101" t="s">
        <v>1030</v>
      </c>
      <c r="C417" s="95"/>
      <c r="D417" s="94"/>
      <c r="E417" s="94"/>
      <c r="F417" s="94"/>
      <c r="G417" s="97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93" t="s">
        <v>1031</v>
      </c>
      <c r="B418" s="61" t="s">
        <v>1032</v>
      </c>
      <c r="C418" s="95">
        <v>357.98</v>
      </c>
      <c r="D418" s="94">
        <v>1.0</v>
      </c>
      <c r="E418" s="94" t="s">
        <v>213</v>
      </c>
      <c r="F418" s="94">
        <v>1.0</v>
      </c>
      <c r="G418" s="97">
        <v>6.009685853318E12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93" t="s">
        <v>1033</v>
      </c>
      <c r="B419" s="61" t="s">
        <v>1034</v>
      </c>
      <c r="C419" s="95">
        <v>381.15</v>
      </c>
      <c r="D419" s="94">
        <v>1.0</v>
      </c>
      <c r="E419" s="94" t="s">
        <v>213</v>
      </c>
      <c r="F419" s="94">
        <v>1.0</v>
      </c>
      <c r="G419" s="97">
        <v>6.009685859013E12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93" t="s">
        <v>1035</v>
      </c>
      <c r="B420" s="61" t="s">
        <v>1036</v>
      </c>
      <c r="C420" s="95">
        <v>779.86</v>
      </c>
      <c r="D420" s="94">
        <v>1.0</v>
      </c>
      <c r="E420" s="94" t="s">
        <v>213</v>
      </c>
      <c r="F420" s="94">
        <v>1.0</v>
      </c>
      <c r="G420" s="97">
        <v>6.009685851543E12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99"/>
      <c r="B421" s="101" t="s">
        <v>1037</v>
      </c>
      <c r="C421" s="95"/>
      <c r="D421" s="94"/>
      <c r="E421" s="94"/>
      <c r="F421" s="94"/>
      <c r="G421" s="97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93" t="s">
        <v>1038</v>
      </c>
      <c r="B422" s="61" t="s">
        <v>1039</v>
      </c>
      <c r="C422" s="95">
        <v>192.23</v>
      </c>
      <c r="D422" s="94">
        <v>1.0</v>
      </c>
      <c r="E422" s="94" t="s">
        <v>213</v>
      </c>
      <c r="F422" s="94">
        <v>4.0</v>
      </c>
      <c r="G422" s="97">
        <v>6.009698064572E12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93" t="s">
        <v>1040</v>
      </c>
      <c r="B423" s="61" t="s">
        <v>1041</v>
      </c>
      <c r="C423" s="95">
        <v>207.22</v>
      </c>
      <c r="D423" s="94">
        <v>1.0</v>
      </c>
      <c r="E423" s="94" t="s">
        <v>213</v>
      </c>
      <c r="F423" s="94">
        <v>4.0</v>
      </c>
      <c r="G423" s="97">
        <v>6.00968585902E12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93" t="s">
        <v>1042</v>
      </c>
      <c r="B424" s="61" t="s">
        <v>1043</v>
      </c>
      <c r="C424" s="95">
        <v>409.24</v>
      </c>
      <c r="D424" s="94">
        <v>1.0</v>
      </c>
      <c r="E424" s="94" t="s">
        <v>213</v>
      </c>
      <c r="F424" s="94">
        <v>4.0</v>
      </c>
      <c r="G424" s="97">
        <v>6.009685851529E12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93" t="s">
        <v>1044</v>
      </c>
      <c r="B425" s="61" t="s">
        <v>1045</v>
      </c>
      <c r="C425" s="95">
        <v>15.12</v>
      </c>
      <c r="D425" s="94">
        <v>10.0</v>
      </c>
      <c r="E425" s="94" t="s">
        <v>213</v>
      </c>
      <c r="F425" s="94">
        <v>80.0</v>
      </c>
      <c r="G425" s="97">
        <v>6.009698061335E12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93" t="s">
        <v>1046</v>
      </c>
      <c r="B426" s="61" t="s">
        <v>1047</v>
      </c>
      <c r="C426" s="95">
        <v>15.0</v>
      </c>
      <c r="D426" s="94">
        <v>12.0</v>
      </c>
      <c r="E426" s="94" t="s">
        <v>213</v>
      </c>
      <c r="F426" s="94">
        <v>12.0</v>
      </c>
      <c r="G426" s="97">
        <v>6.009698066828E12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93" t="s">
        <v>1048</v>
      </c>
      <c r="B427" s="61" t="s">
        <v>1049</v>
      </c>
      <c r="C427" s="95">
        <v>14.22</v>
      </c>
      <c r="D427" s="94">
        <v>12.0</v>
      </c>
      <c r="E427" s="94" t="s">
        <v>213</v>
      </c>
      <c r="F427" s="94">
        <v>12.0</v>
      </c>
      <c r="G427" s="97">
        <v>6.009685858979E12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104" t="s">
        <v>1050</v>
      </c>
      <c r="B428" s="105" t="s">
        <v>1051</v>
      </c>
      <c r="C428" s="107">
        <v>24.55</v>
      </c>
      <c r="D428" s="106">
        <v>12.0</v>
      </c>
      <c r="E428" s="106" t="s">
        <v>213</v>
      </c>
      <c r="F428" s="106">
        <v>12.0</v>
      </c>
      <c r="G428" s="109">
        <v>6.009685858986E12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136"/>
      <c r="B429" s="137" t="s">
        <v>1052</v>
      </c>
      <c r="C429" s="142"/>
      <c r="D429" s="139"/>
      <c r="E429" s="139"/>
      <c r="F429" s="139"/>
      <c r="G429" s="14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93" t="s">
        <v>1053</v>
      </c>
      <c r="B430" s="61" t="s">
        <v>1054</v>
      </c>
      <c r="C430" s="95">
        <v>96.54</v>
      </c>
      <c r="D430" s="94">
        <v>1.0</v>
      </c>
      <c r="E430" s="94" t="s">
        <v>213</v>
      </c>
      <c r="F430" s="94">
        <v>6.0</v>
      </c>
      <c r="G430" s="97">
        <v>6.009685853332E12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93" t="s">
        <v>1055</v>
      </c>
      <c r="B431" s="61" t="s">
        <v>1056</v>
      </c>
      <c r="C431" s="95">
        <v>107.45</v>
      </c>
      <c r="D431" s="94">
        <v>1.0</v>
      </c>
      <c r="E431" s="94" t="s">
        <v>213</v>
      </c>
      <c r="F431" s="94">
        <v>6.0</v>
      </c>
      <c r="G431" s="97">
        <v>6.009685859037E12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93" t="s">
        <v>1057</v>
      </c>
      <c r="B432" s="61" t="s">
        <v>1058</v>
      </c>
      <c r="C432" s="95">
        <v>217.9</v>
      </c>
      <c r="D432" s="94">
        <v>1.0</v>
      </c>
      <c r="E432" s="94" t="s">
        <v>213</v>
      </c>
      <c r="F432" s="94">
        <v>6.0</v>
      </c>
      <c r="G432" s="97">
        <v>6.009685851505E12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99"/>
      <c r="B433" s="61"/>
      <c r="C433" s="95"/>
      <c r="D433" s="94"/>
      <c r="E433" s="94"/>
      <c r="F433" s="94"/>
      <c r="G433" s="97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99"/>
      <c r="B434" s="101" t="s">
        <v>1059</v>
      </c>
      <c r="C434" s="95"/>
      <c r="D434" s="94"/>
      <c r="E434" s="94"/>
      <c r="F434" s="94"/>
      <c r="G434" s="97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93" t="s">
        <v>1060</v>
      </c>
      <c r="B435" s="61" t="s">
        <v>1061</v>
      </c>
      <c r="C435" s="95">
        <v>22.39</v>
      </c>
      <c r="D435" s="94">
        <v>6.0</v>
      </c>
      <c r="E435" s="94" t="s">
        <v>213</v>
      </c>
      <c r="F435" s="94">
        <v>24.0</v>
      </c>
      <c r="G435" s="97">
        <v>6.009698066347E12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93" t="s">
        <v>1062</v>
      </c>
      <c r="B436" s="61" t="s">
        <v>1063</v>
      </c>
      <c r="C436" s="95">
        <v>26.240000000000002</v>
      </c>
      <c r="D436" s="94">
        <v>6.0</v>
      </c>
      <c r="E436" s="94" t="s">
        <v>213</v>
      </c>
      <c r="F436" s="94">
        <v>24.0</v>
      </c>
      <c r="G436" s="97">
        <v>6.009699519781E12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93" t="s">
        <v>1064</v>
      </c>
      <c r="B437" s="61" t="s">
        <v>1065</v>
      </c>
      <c r="C437" s="95">
        <v>47.739999999999995</v>
      </c>
      <c r="D437" s="94">
        <v>6.0</v>
      </c>
      <c r="E437" s="94" t="s">
        <v>213</v>
      </c>
      <c r="F437" s="94">
        <v>24.0</v>
      </c>
      <c r="G437" s="97">
        <v>6.009699513413E12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99"/>
      <c r="B438" s="61"/>
      <c r="C438" s="95"/>
      <c r="D438" s="94"/>
      <c r="E438" s="94"/>
      <c r="F438" s="94"/>
      <c r="G438" s="97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99"/>
      <c r="B439" s="101" t="s">
        <v>1066</v>
      </c>
      <c r="C439" s="95"/>
      <c r="D439" s="94"/>
      <c r="E439" s="94"/>
      <c r="F439" s="94"/>
      <c r="G439" s="97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93" t="s">
        <v>1067</v>
      </c>
      <c r="B440" s="61" t="s">
        <v>1068</v>
      </c>
      <c r="C440" s="95">
        <v>5.89</v>
      </c>
      <c r="D440" s="94">
        <v>10.0</v>
      </c>
      <c r="E440" s="94">
        <v>10.0</v>
      </c>
      <c r="F440" s="94">
        <v>120.0</v>
      </c>
      <c r="G440" s="97">
        <v>6.009685858719E12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93" t="s">
        <v>1069</v>
      </c>
      <c r="B441" s="61" t="s">
        <v>1070</v>
      </c>
      <c r="C441" s="95">
        <v>8.97</v>
      </c>
      <c r="D441" s="94">
        <v>10.0</v>
      </c>
      <c r="E441" s="94">
        <v>10.0</v>
      </c>
      <c r="F441" s="94">
        <v>120.0</v>
      </c>
      <c r="G441" s="97">
        <v>6.009685851024E12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93" t="s">
        <v>1071</v>
      </c>
      <c r="B442" s="61" t="s">
        <v>1072</v>
      </c>
      <c r="C442" s="95">
        <v>6.569999999999999</v>
      </c>
      <c r="D442" s="94">
        <v>10.0</v>
      </c>
      <c r="E442" s="94">
        <v>10.0</v>
      </c>
      <c r="F442" s="94">
        <v>120.0</v>
      </c>
      <c r="G442" s="97">
        <v>6.009685858658E12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93" t="s">
        <v>1073</v>
      </c>
      <c r="B443" s="61" t="s">
        <v>1074</v>
      </c>
      <c r="C443" s="95">
        <v>6.569999999999999</v>
      </c>
      <c r="D443" s="94">
        <v>10.0</v>
      </c>
      <c r="E443" s="94">
        <v>10.0</v>
      </c>
      <c r="F443" s="94">
        <v>120.0</v>
      </c>
      <c r="G443" s="97">
        <v>6.009698065135E12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93" t="s">
        <v>1075</v>
      </c>
      <c r="B444" s="61" t="s">
        <v>1076</v>
      </c>
      <c r="C444" s="95">
        <v>6.569999999999999</v>
      </c>
      <c r="D444" s="94">
        <v>10.0</v>
      </c>
      <c r="E444" s="94">
        <v>10.0</v>
      </c>
      <c r="F444" s="94">
        <v>120.0</v>
      </c>
      <c r="G444" s="97">
        <v>6.009685858672E12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93" t="s">
        <v>1077</v>
      </c>
      <c r="B445" s="61" t="s">
        <v>1078</v>
      </c>
      <c r="C445" s="95">
        <v>6.569999999999999</v>
      </c>
      <c r="D445" s="94">
        <v>10.0</v>
      </c>
      <c r="E445" s="94">
        <v>10.0</v>
      </c>
      <c r="F445" s="94">
        <v>120.0</v>
      </c>
      <c r="G445" s="97">
        <v>6.009698065128E12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93" t="s">
        <v>1079</v>
      </c>
      <c r="B446" s="61" t="s">
        <v>1080</v>
      </c>
      <c r="C446" s="95">
        <v>6.569999999999999</v>
      </c>
      <c r="D446" s="94">
        <v>10.0</v>
      </c>
      <c r="E446" s="94">
        <v>10.0</v>
      </c>
      <c r="F446" s="94">
        <v>120.0</v>
      </c>
      <c r="G446" s="97">
        <v>6.009685858696E12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93" t="s">
        <v>1081</v>
      </c>
      <c r="B447" s="61" t="s">
        <v>1082</v>
      </c>
      <c r="C447" s="95">
        <v>13.77</v>
      </c>
      <c r="D447" s="94">
        <v>10.0</v>
      </c>
      <c r="E447" s="94">
        <v>10.0</v>
      </c>
      <c r="F447" s="94">
        <v>120.0</v>
      </c>
      <c r="G447" s="97">
        <v>6.009698060512E12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93" t="s">
        <v>1083</v>
      </c>
      <c r="B448" s="61" t="s">
        <v>1084</v>
      </c>
      <c r="C448" s="95">
        <v>10.73</v>
      </c>
      <c r="D448" s="94">
        <v>10.0</v>
      </c>
      <c r="E448" s="94">
        <v>10.0</v>
      </c>
      <c r="F448" s="94">
        <v>120.0</v>
      </c>
      <c r="G448" s="97">
        <v>6.009685858726E12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93" t="s">
        <v>1085</v>
      </c>
      <c r="B449" s="61" t="s">
        <v>1086</v>
      </c>
      <c r="C449" s="95">
        <v>10.73</v>
      </c>
      <c r="D449" s="94">
        <v>10.0</v>
      </c>
      <c r="E449" s="94">
        <v>10.0</v>
      </c>
      <c r="F449" s="94">
        <v>120.0</v>
      </c>
      <c r="G449" s="97">
        <v>6.009685858733E12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93" t="s">
        <v>1087</v>
      </c>
      <c r="B450" s="61" t="s">
        <v>1088</v>
      </c>
      <c r="C450" s="95">
        <v>10.73</v>
      </c>
      <c r="D450" s="94">
        <v>10.0</v>
      </c>
      <c r="E450" s="94">
        <v>10.0</v>
      </c>
      <c r="F450" s="94">
        <v>120.0</v>
      </c>
      <c r="G450" s="97">
        <v>6.00968585874E12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93" t="s">
        <v>1089</v>
      </c>
      <c r="B451" s="61" t="s">
        <v>1090</v>
      </c>
      <c r="C451" s="95">
        <v>10.73</v>
      </c>
      <c r="D451" s="94">
        <v>10.0</v>
      </c>
      <c r="E451" s="94">
        <v>10.0</v>
      </c>
      <c r="F451" s="94">
        <v>120.0</v>
      </c>
      <c r="G451" s="97">
        <v>6.009685858757E12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93" t="s">
        <v>1091</v>
      </c>
      <c r="B452" s="61" t="s">
        <v>1092</v>
      </c>
      <c r="C452" s="95">
        <v>10.73</v>
      </c>
      <c r="D452" s="94">
        <v>10.0</v>
      </c>
      <c r="E452" s="94">
        <v>10.0</v>
      </c>
      <c r="F452" s="94">
        <v>120.0</v>
      </c>
      <c r="G452" s="97">
        <v>6.009635844793E12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93"/>
      <c r="B453" s="61"/>
      <c r="C453" s="95"/>
      <c r="D453" s="94"/>
      <c r="E453" s="94"/>
      <c r="F453" s="94"/>
      <c r="G453" s="97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99"/>
      <c r="B454" s="101" t="s">
        <v>1093</v>
      </c>
      <c r="C454" s="95"/>
      <c r="D454" s="94"/>
      <c r="E454" s="94"/>
      <c r="F454" s="94"/>
      <c r="G454" s="97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93" t="s">
        <v>1094</v>
      </c>
      <c r="B455" s="61" t="s">
        <v>1095</v>
      </c>
      <c r="C455" s="95">
        <v>42.87</v>
      </c>
      <c r="D455" s="94">
        <v>1.0</v>
      </c>
      <c r="E455" s="94" t="s">
        <v>213</v>
      </c>
      <c r="F455" s="94">
        <v>12.0</v>
      </c>
      <c r="G455" s="97">
        <v>6.009685853356E12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93" t="s">
        <v>1096</v>
      </c>
      <c r="B456" s="61" t="s">
        <v>1097</v>
      </c>
      <c r="C456" s="95">
        <v>47.559999999999995</v>
      </c>
      <c r="D456" s="94">
        <v>1.0</v>
      </c>
      <c r="E456" s="94" t="s">
        <v>213</v>
      </c>
      <c r="F456" s="94">
        <v>12.0</v>
      </c>
      <c r="G456" s="97">
        <v>6.009697791721E12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93" t="s">
        <v>1098</v>
      </c>
      <c r="B457" s="61" t="s">
        <v>1099</v>
      </c>
      <c r="C457" s="95">
        <v>44.449999999999996</v>
      </c>
      <c r="D457" s="94">
        <v>1.0</v>
      </c>
      <c r="E457" s="94" t="s">
        <v>213</v>
      </c>
      <c r="F457" s="94">
        <v>12.0</v>
      </c>
      <c r="G457" s="97">
        <v>6.009697791745E12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93" t="s">
        <v>1100</v>
      </c>
      <c r="B458" s="61" t="s">
        <v>1101</v>
      </c>
      <c r="C458" s="95">
        <v>44.449999999999996</v>
      </c>
      <c r="D458" s="94">
        <v>1.0</v>
      </c>
      <c r="E458" s="94" t="s">
        <v>213</v>
      </c>
      <c r="F458" s="94">
        <v>12.0</v>
      </c>
      <c r="G458" s="97">
        <v>6.009697791752E12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93" t="s">
        <v>1102</v>
      </c>
      <c r="B459" s="61" t="s">
        <v>1103</v>
      </c>
      <c r="C459" s="95">
        <v>44.449999999999996</v>
      </c>
      <c r="D459" s="94">
        <v>1.0</v>
      </c>
      <c r="E459" s="94" t="s">
        <v>213</v>
      </c>
      <c r="F459" s="94">
        <v>12.0</v>
      </c>
      <c r="G459" s="97">
        <v>6.009698064206E12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93" t="s">
        <v>1104</v>
      </c>
      <c r="B460" s="61" t="s">
        <v>1105</v>
      </c>
      <c r="C460" s="95">
        <v>44.449999999999996</v>
      </c>
      <c r="D460" s="94">
        <v>1.0</v>
      </c>
      <c r="E460" s="94" t="s">
        <v>213</v>
      </c>
      <c r="F460" s="94">
        <v>12.0</v>
      </c>
      <c r="G460" s="97">
        <v>6.009697791776E12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93" t="s">
        <v>1106</v>
      </c>
      <c r="B461" s="61" t="s">
        <v>1107</v>
      </c>
      <c r="C461" s="95">
        <v>44.449999999999996</v>
      </c>
      <c r="D461" s="94">
        <v>1.0</v>
      </c>
      <c r="E461" s="94" t="s">
        <v>213</v>
      </c>
      <c r="F461" s="94">
        <v>12.0</v>
      </c>
      <c r="G461" s="97">
        <v>6.009697791783E12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93" t="s">
        <v>1108</v>
      </c>
      <c r="B462" s="61" t="s">
        <v>1109</v>
      </c>
      <c r="C462" s="95">
        <v>92.28</v>
      </c>
      <c r="D462" s="94">
        <v>1.0</v>
      </c>
      <c r="E462" s="94" t="s">
        <v>213</v>
      </c>
      <c r="F462" s="94">
        <v>12.0</v>
      </c>
      <c r="G462" s="97">
        <v>6.009685853714E12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93" t="s">
        <v>1110</v>
      </c>
      <c r="B463" s="61" t="s">
        <v>1111</v>
      </c>
      <c r="C463" s="95">
        <v>83.72</v>
      </c>
      <c r="D463" s="94">
        <v>1.0</v>
      </c>
      <c r="E463" s="94" t="s">
        <v>213</v>
      </c>
      <c r="F463" s="94">
        <v>12.0</v>
      </c>
      <c r="G463" s="97">
        <v>6.009698066613E12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93" t="s">
        <v>1112</v>
      </c>
      <c r="B464" s="61" t="s">
        <v>1113</v>
      </c>
      <c r="C464" s="95">
        <v>83.72</v>
      </c>
      <c r="D464" s="94">
        <v>1.0</v>
      </c>
      <c r="E464" s="94" t="s">
        <v>213</v>
      </c>
      <c r="F464" s="94">
        <v>12.0</v>
      </c>
      <c r="G464" s="97">
        <v>6.009685855343E12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93" t="s">
        <v>1114</v>
      </c>
      <c r="B465" s="61" t="s">
        <v>1115</v>
      </c>
      <c r="C465" s="95">
        <v>83.72</v>
      </c>
      <c r="D465" s="94">
        <v>1.0</v>
      </c>
      <c r="E465" s="94" t="s">
        <v>213</v>
      </c>
      <c r="F465" s="94">
        <v>12.0</v>
      </c>
      <c r="G465" s="97">
        <v>6.009698064213E12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93" t="s">
        <v>1116</v>
      </c>
      <c r="B466" s="154" t="s">
        <v>1117</v>
      </c>
      <c r="C466" s="95">
        <v>83.72</v>
      </c>
      <c r="D466" s="94">
        <v>1.0</v>
      </c>
      <c r="E466" s="94" t="s">
        <v>213</v>
      </c>
      <c r="F466" s="94">
        <v>12.0</v>
      </c>
      <c r="G466" s="97">
        <v>6.009697791851E12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93" t="s">
        <v>1118</v>
      </c>
      <c r="B467" s="61" t="s">
        <v>1119</v>
      </c>
      <c r="C467" s="95">
        <v>83.72</v>
      </c>
      <c r="D467" s="94">
        <v>1.0</v>
      </c>
      <c r="E467" s="94" t="s">
        <v>213</v>
      </c>
      <c r="F467" s="94">
        <v>12.0</v>
      </c>
      <c r="G467" s="97">
        <v>6.009685853707E12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93"/>
      <c r="B468" s="61"/>
      <c r="C468" s="95"/>
      <c r="D468" s="94"/>
      <c r="E468" s="94"/>
      <c r="F468" s="94"/>
      <c r="G468" s="97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99"/>
      <c r="B469" s="101" t="s">
        <v>1120</v>
      </c>
      <c r="C469" s="95"/>
      <c r="D469" s="94"/>
      <c r="E469" s="94"/>
      <c r="F469" s="94"/>
      <c r="G469" s="97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93" t="s">
        <v>1121</v>
      </c>
      <c r="B470" s="61" t="s">
        <v>1122</v>
      </c>
      <c r="C470" s="95">
        <v>19.75</v>
      </c>
      <c r="D470" s="94">
        <v>5.0</v>
      </c>
      <c r="E470" s="94">
        <v>5.0</v>
      </c>
      <c r="F470" s="94">
        <v>40.0</v>
      </c>
      <c r="G470" s="97">
        <v>6.009698066514E12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93" t="s">
        <v>1123</v>
      </c>
      <c r="B471" s="61" t="s">
        <v>1124</v>
      </c>
      <c r="C471" s="95">
        <v>27.130000000000003</v>
      </c>
      <c r="D471" s="94">
        <v>5.0</v>
      </c>
      <c r="E471" s="94">
        <v>5.0</v>
      </c>
      <c r="F471" s="94">
        <v>40.0</v>
      </c>
      <c r="G471" s="97">
        <v>6.009685858641E12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93" t="s">
        <v>1125</v>
      </c>
      <c r="B472" s="61" t="s">
        <v>1126</v>
      </c>
      <c r="C472" s="95">
        <v>18.69</v>
      </c>
      <c r="D472" s="94">
        <v>5.0</v>
      </c>
      <c r="E472" s="94">
        <v>5.0</v>
      </c>
      <c r="F472" s="94">
        <v>40.0</v>
      </c>
      <c r="G472" s="97">
        <v>6.009608648939E12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99"/>
      <c r="B473" s="61"/>
      <c r="C473" s="95"/>
      <c r="D473" s="94"/>
      <c r="E473" s="94"/>
      <c r="F473" s="94"/>
      <c r="G473" s="97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99"/>
      <c r="B474" s="101" t="s">
        <v>1127</v>
      </c>
      <c r="C474" s="95"/>
      <c r="D474" s="94"/>
      <c r="E474" s="94"/>
      <c r="F474" s="94"/>
      <c r="G474" s="97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93" t="s">
        <v>1128</v>
      </c>
      <c r="B475" s="61" t="s">
        <v>1129</v>
      </c>
      <c r="C475" s="95">
        <v>22.2</v>
      </c>
      <c r="D475" s="94">
        <v>5.0</v>
      </c>
      <c r="E475" s="94" t="s">
        <v>213</v>
      </c>
      <c r="F475" s="94">
        <v>20.0</v>
      </c>
      <c r="G475" s="148">
        <v>6.009699513406E12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93" t="s">
        <v>1130</v>
      </c>
      <c r="B476" s="61" t="s">
        <v>1131</v>
      </c>
      <c r="C476" s="95">
        <v>44.519999999999996</v>
      </c>
      <c r="D476" s="94">
        <v>6.0</v>
      </c>
      <c r="E476" s="94" t="s">
        <v>213</v>
      </c>
      <c r="F476" s="94">
        <v>24.0</v>
      </c>
      <c r="G476" s="97">
        <v>6.009685858634E12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93" t="s">
        <v>1132</v>
      </c>
      <c r="B477" s="61" t="s">
        <v>1133</v>
      </c>
      <c r="C477" s="95">
        <v>45.769999999999996</v>
      </c>
      <c r="D477" s="94">
        <v>6.0</v>
      </c>
      <c r="E477" s="94" t="s">
        <v>213</v>
      </c>
      <c r="F477" s="94">
        <v>24.0</v>
      </c>
      <c r="G477" s="97">
        <v>6.009697791042E12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93"/>
      <c r="B478" s="61"/>
      <c r="C478" s="95"/>
      <c r="D478" s="94"/>
      <c r="E478" s="94"/>
      <c r="F478" s="94"/>
      <c r="G478" s="97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99"/>
      <c r="B479" s="101" t="s">
        <v>1134</v>
      </c>
      <c r="C479" s="95"/>
      <c r="D479" s="94"/>
      <c r="E479" s="94"/>
      <c r="F479" s="94"/>
      <c r="G479" s="97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93" t="s">
        <v>1135</v>
      </c>
      <c r="B480" s="61" t="s">
        <v>1136</v>
      </c>
      <c r="C480" s="95">
        <v>20.85</v>
      </c>
      <c r="D480" s="94">
        <v>5.0</v>
      </c>
      <c r="E480" s="94">
        <v>5.0</v>
      </c>
      <c r="F480" s="94">
        <v>40.0</v>
      </c>
      <c r="G480" s="97">
        <v>6.009698066491E12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93" t="s">
        <v>1137</v>
      </c>
      <c r="B481" s="61" t="s">
        <v>1138</v>
      </c>
      <c r="C481" s="95">
        <v>25.78</v>
      </c>
      <c r="D481" s="94">
        <v>5.0</v>
      </c>
      <c r="E481" s="94">
        <v>5.0</v>
      </c>
      <c r="F481" s="94">
        <v>40.0</v>
      </c>
      <c r="G481" s="97">
        <v>6.009698060925E12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45"/>
      <c r="B482" s="61"/>
      <c r="C482" s="95"/>
      <c r="D482" s="94"/>
      <c r="E482" s="94"/>
      <c r="F482" s="94"/>
      <c r="G482" s="97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99"/>
      <c r="B483" s="101" t="s">
        <v>155</v>
      </c>
      <c r="C483" s="95"/>
      <c r="D483" s="94"/>
      <c r="E483" s="94"/>
      <c r="F483" s="94"/>
      <c r="G483" s="97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93" t="s">
        <v>1139</v>
      </c>
      <c r="B484" s="61" t="s">
        <v>1140</v>
      </c>
      <c r="C484" s="95">
        <v>27.520000000000003</v>
      </c>
      <c r="D484" s="94">
        <v>12.0</v>
      </c>
      <c r="E484" s="94">
        <v>12.0</v>
      </c>
      <c r="F484" s="94">
        <v>144.0</v>
      </c>
      <c r="G484" s="97">
        <v>6.009608641282E12</v>
      </c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93" t="s">
        <v>1141</v>
      </c>
      <c r="B485" s="154" t="s">
        <v>1142</v>
      </c>
      <c r="C485" s="95">
        <v>58.489999999999995</v>
      </c>
      <c r="D485" s="94">
        <v>6.0</v>
      </c>
      <c r="E485" s="94">
        <v>6.0</v>
      </c>
      <c r="F485" s="94">
        <v>48.0</v>
      </c>
      <c r="G485" s="148">
        <v>6.009685855626E12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93" t="s">
        <v>1143</v>
      </c>
      <c r="B486" s="154" t="s">
        <v>1144</v>
      </c>
      <c r="C486" s="95">
        <v>190.87</v>
      </c>
      <c r="D486" s="94">
        <v>1.0</v>
      </c>
      <c r="E486" s="145" t="s">
        <v>213</v>
      </c>
      <c r="F486" s="94">
        <v>12.0</v>
      </c>
      <c r="G486" s="148">
        <v>6.009685855657E12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93"/>
      <c r="B487" s="154"/>
      <c r="C487" s="95"/>
      <c r="D487" s="94"/>
      <c r="E487" s="145"/>
      <c r="F487" s="94"/>
      <c r="G487" s="148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104"/>
      <c r="B488" s="155"/>
      <c r="C488" s="107"/>
      <c r="D488" s="106"/>
      <c r="E488" s="156"/>
      <c r="F488" s="106"/>
      <c r="G488" s="157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136"/>
      <c r="B489" s="137" t="s">
        <v>161</v>
      </c>
      <c r="C489" s="142"/>
      <c r="D489" s="139"/>
      <c r="E489" s="139"/>
      <c r="F489" s="139"/>
      <c r="G489" s="14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93" t="s">
        <v>1145</v>
      </c>
      <c r="B490" s="61" t="s">
        <v>1146</v>
      </c>
      <c r="C490" s="95">
        <v>16.0</v>
      </c>
      <c r="D490" s="94">
        <v>1.0</v>
      </c>
      <c r="E490" s="94" t="s">
        <v>213</v>
      </c>
      <c r="F490" s="94">
        <v>100.0</v>
      </c>
      <c r="G490" s="97">
        <v>6.009635836804E12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93" t="s">
        <v>1147</v>
      </c>
      <c r="B491" s="61" t="s">
        <v>1148</v>
      </c>
      <c r="C491" s="95">
        <v>12.15</v>
      </c>
      <c r="D491" s="94">
        <v>1.0</v>
      </c>
      <c r="E491" s="94" t="s">
        <v>213</v>
      </c>
      <c r="F491" s="94">
        <v>100.0</v>
      </c>
      <c r="G491" s="97">
        <v>6.009698063018E12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93" t="s">
        <v>1149</v>
      </c>
      <c r="B492" s="61" t="s">
        <v>1150</v>
      </c>
      <c r="C492" s="95">
        <v>18.360000000000003</v>
      </c>
      <c r="D492" s="94">
        <v>1.0</v>
      </c>
      <c r="E492" s="94" t="s">
        <v>213</v>
      </c>
      <c r="F492" s="94">
        <v>100.0</v>
      </c>
      <c r="G492" s="97">
        <v>6.009685850614E12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93" t="s">
        <v>1151</v>
      </c>
      <c r="B493" s="61" t="s">
        <v>1152</v>
      </c>
      <c r="C493" s="95">
        <v>5.319999999999999</v>
      </c>
      <c r="D493" s="94">
        <v>12.0</v>
      </c>
      <c r="E493" s="94">
        <v>12.0</v>
      </c>
      <c r="F493" s="94">
        <v>288.0</v>
      </c>
      <c r="G493" s="97">
        <v>6.009608641596E12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93" t="s">
        <v>1153</v>
      </c>
      <c r="B494" s="61" t="s">
        <v>1154</v>
      </c>
      <c r="C494" s="95">
        <v>9.9</v>
      </c>
      <c r="D494" s="94">
        <v>12.0</v>
      </c>
      <c r="E494" s="94">
        <v>12.0</v>
      </c>
      <c r="F494" s="94">
        <v>288.0</v>
      </c>
      <c r="G494" s="97">
        <v>6.009699515004E12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93" t="s">
        <v>1155</v>
      </c>
      <c r="B495" s="61" t="s">
        <v>1156</v>
      </c>
      <c r="C495" s="95">
        <v>25.040000000000003</v>
      </c>
      <c r="D495" s="94">
        <v>1.0</v>
      </c>
      <c r="E495" s="94" t="s">
        <v>213</v>
      </c>
      <c r="F495" s="94">
        <v>100.0</v>
      </c>
      <c r="G495" s="97">
        <v>6.009685851956E12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99"/>
      <c r="B496" s="61"/>
      <c r="C496" s="95"/>
      <c r="D496" s="94"/>
      <c r="E496" s="94"/>
      <c r="F496" s="94"/>
      <c r="G496" s="97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99"/>
      <c r="B497" s="101" t="s">
        <v>1157</v>
      </c>
      <c r="C497" s="95"/>
      <c r="D497" s="94"/>
      <c r="E497" s="94"/>
      <c r="F497" s="94"/>
      <c r="G497" s="97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93" t="s">
        <v>1158</v>
      </c>
      <c r="B498" s="61" t="s">
        <v>1159</v>
      </c>
      <c r="C498" s="95">
        <v>6.09</v>
      </c>
      <c r="D498" s="94">
        <v>12.0</v>
      </c>
      <c r="E498" s="94">
        <v>12.0</v>
      </c>
      <c r="F498" s="94">
        <v>240.0</v>
      </c>
      <c r="G498" s="97">
        <v>6.009608641305E12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93" t="s">
        <v>1160</v>
      </c>
      <c r="B499" s="61" t="s">
        <v>1161</v>
      </c>
      <c r="C499" s="95">
        <v>4.29</v>
      </c>
      <c r="D499" s="94">
        <v>60.0</v>
      </c>
      <c r="E499" s="94">
        <v>60.0</v>
      </c>
      <c r="F499" s="94">
        <v>720.0</v>
      </c>
      <c r="G499" s="97">
        <v>6.009698063292E12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93" t="s">
        <v>1162</v>
      </c>
      <c r="B500" s="61" t="s">
        <v>1163</v>
      </c>
      <c r="C500" s="95">
        <v>7.4</v>
      </c>
      <c r="D500" s="94">
        <v>12.0</v>
      </c>
      <c r="E500" s="94">
        <v>12.0</v>
      </c>
      <c r="F500" s="94">
        <v>240.0</v>
      </c>
      <c r="G500" s="97">
        <v>6.009608643354E12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93" t="s">
        <v>1164</v>
      </c>
      <c r="B501" s="61" t="s">
        <v>1165</v>
      </c>
      <c r="C501" s="95">
        <v>13.45</v>
      </c>
      <c r="D501" s="94">
        <v>12.0</v>
      </c>
      <c r="E501" s="94">
        <v>12.0</v>
      </c>
      <c r="F501" s="94">
        <v>144.0</v>
      </c>
      <c r="G501" s="97">
        <v>6.009699515271E12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93" t="s">
        <v>1166</v>
      </c>
      <c r="B502" s="61" t="s">
        <v>1167</v>
      </c>
      <c r="C502" s="95">
        <v>13.27</v>
      </c>
      <c r="D502" s="94">
        <v>12.0</v>
      </c>
      <c r="E502" s="94">
        <v>12.0</v>
      </c>
      <c r="F502" s="94">
        <v>144.0</v>
      </c>
      <c r="G502" s="97">
        <v>6.009608643361E12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93" t="s">
        <v>1168</v>
      </c>
      <c r="B503" s="61" t="s">
        <v>1169</v>
      </c>
      <c r="C503" s="95">
        <v>11.68</v>
      </c>
      <c r="D503" s="94">
        <v>12.0</v>
      </c>
      <c r="E503" s="94">
        <v>12.0</v>
      </c>
      <c r="F503" s="94">
        <v>240.0</v>
      </c>
      <c r="G503" s="97">
        <v>6.009608647727E12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93" t="s">
        <v>1170</v>
      </c>
      <c r="B504" s="61" t="s">
        <v>1171</v>
      </c>
      <c r="C504" s="95">
        <v>10.97</v>
      </c>
      <c r="D504" s="94">
        <v>12.0</v>
      </c>
      <c r="E504" s="94">
        <v>12.0</v>
      </c>
      <c r="F504" s="94">
        <v>144.0</v>
      </c>
      <c r="G504" s="97">
        <v>6.009699514595E12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93" t="s">
        <v>1172</v>
      </c>
      <c r="B505" s="61" t="s">
        <v>1173</v>
      </c>
      <c r="C505" s="95">
        <v>19.69</v>
      </c>
      <c r="D505" s="94">
        <v>12.0</v>
      </c>
      <c r="E505" s="94">
        <v>12.0</v>
      </c>
      <c r="F505" s="94">
        <v>144.0</v>
      </c>
      <c r="G505" s="97">
        <v>6.009699514571E12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93" t="s">
        <v>1174</v>
      </c>
      <c r="B506" s="61" t="s">
        <v>1175</v>
      </c>
      <c r="C506" s="95">
        <v>13.6</v>
      </c>
      <c r="D506" s="94">
        <v>12.0</v>
      </c>
      <c r="E506" s="94">
        <v>12.0</v>
      </c>
      <c r="F506" s="94">
        <v>240.0</v>
      </c>
      <c r="G506" s="97">
        <v>6.009698068044E12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93" t="s">
        <v>1176</v>
      </c>
      <c r="B507" s="61" t="s">
        <v>1177</v>
      </c>
      <c r="C507" s="95">
        <v>9.59</v>
      </c>
      <c r="D507" s="94">
        <v>12.0</v>
      </c>
      <c r="E507" s="94">
        <v>12.0</v>
      </c>
      <c r="F507" s="94">
        <v>240.0</v>
      </c>
      <c r="G507" s="97">
        <v>6.009635836774E12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93" t="s">
        <v>1178</v>
      </c>
      <c r="B508" s="61" t="s">
        <v>1179</v>
      </c>
      <c r="C508" s="95">
        <v>9.59</v>
      </c>
      <c r="D508" s="94">
        <v>12.0</v>
      </c>
      <c r="E508" s="94">
        <v>12.0</v>
      </c>
      <c r="F508" s="94">
        <v>240.0</v>
      </c>
      <c r="G508" s="97">
        <v>6.009608642159E12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93" t="s">
        <v>1180</v>
      </c>
      <c r="B509" s="61" t="s">
        <v>1181</v>
      </c>
      <c r="C509" s="95">
        <v>11.27</v>
      </c>
      <c r="D509" s="94">
        <v>12.0</v>
      </c>
      <c r="E509" s="94">
        <v>12.0</v>
      </c>
      <c r="F509" s="94">
        <v>240.0</v>
      </c>
      <c r="G509" s="97">
        <v>6.009608647697E12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93" t="s">
        <v>1182</v>
      </c>
      <c r="B510" s="61" t="s">
        <v>1183</v>
      </c>
      <c r="C510" s="95">
        <v>18.87</v>
      </c>
      <c r="D510" s="94">
        <v>12.0</v>
      </c>
      <c r="E510" s="94">
        <v>12.0</v>
      </c>
      <c r="F510" s="94">
        <v>240.0</v>
      </c>
      <c r="G510" s="97">
        <v>6.009685850249E12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93"/>
      <c r="B511" s="61"/>
      <c r="C511" s="95"/>
      <c r="D511" s="94"/>
      <c r="E511" s="94"/>
      <c r="F511" s="94"/>
      <c r="G511" s="97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99"/>
      <c r="B512" s="101" t="s">
        <v>167</v>
      </c>
      <c r="C512" s="95"/>
      <c r="D512" s="94"/>
      <c r="E512" s="94"/>
      <c r="F512" s="94"/>
      <c r="G512" s="97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93" t="s">
        <v>1184</v>
      </c>
      <c r="B513" s="61" t="s">
        <v>1185</v>
      </c>
      <c r="C513" s="95">
        <v>17.57</v>
      </c>
      <c r="D513" s="94">
        <v>1.0</v>
      </c>
      <c r="E513" s="94">
        <v>6.0</v>
      </c>
      <c r="F513" s="94">
        <v>144.0</v>
      </c>
      <c r="G513" s="97">
        <v>6.009608641244E12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93" t="s">
        <v>1186</v>
      </c>
      <c r="B514" s="61" t="s">
        <v>1187</v>
      </c>
      <c r="C514" s="95">
        <v>43.39</v>
      </c>
      <c r="D514" s="94">
        <v>1.0</v>
      </c>
      <c r="E514" s="94">
        <v>6.0</v>
      </c>
      <c r="F514" s="94">
        <v>120.0</v>
      </c>
      <c r="G514" s="97">
        <v>6.009608643545E12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93" t="s">
        <v>1188</v>
      </c>
      <c r="B515" s="61" t="s">
        <v>1189</v>
      </c>
      <c r="C515" s="95">
        <v>153.38</v>
      </c>
      <c r="D515" s="94">
        <v>1.0</v>
      </c>
      <c r="E515" s="94" t="s">
        <v>213</v>
      </c>
      <c r="F515" s="94">
        <v>48.0</v>
      </c>
      <c r="G515" s="97">
        <v>6.009685856746E12</v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93" t="s">
        <v>1190</v>
      </c>
      <c r="B516" s="61" t="s">
        <v>1191</v>
      </c>
      <c r="C516" s="95">
        <v>99.65</v>
      </c>
      <c r="D516" s="94">
        <v>1.0</v>
      </c>
      <c r="E516" s="94">
        <v>6.0</v>
      </c>
      <c r="F516" s="94">
        <v>60.0</v>
      </c>
      <c r="G516" s="97">
        <v>6.009635842652E12</v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93" t="s">
        <v>1192</v>
      </c>
      <c r="B517" s="61" t="s">
        <v>1193</v>
      </c>
      <c r="C517" s="95">
        <v>14.0</v>
      </c>
      <c r="D517" s="94">
        <v>12.0</v>
      </c>
      <c r="E517" s="94">
        <v>12.0</v>
      </c>
      <c r="F517" s="94">
        <v>144.0</v>
      </c>
      <c r="G517" s="97">
        <v>6.009699511624E12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93" t="s">
        <v>1194</v>
      </c>
      <c r="B518" s="61" t="s">
        <v>1195</v>
      </c>
      <c r="C518" s="95">
        <v>7.09</v>
      </c>
      <c r="D518" s="94">
        <v>12.0</v>
      </c>
      <c r="E518" s="94">
        <v>12.0</v>
      </c>
      <c r="F518" s="94">
        <v>288.0</v>
      </c>
      <c r="G518" s="97">
        <v>6.009685850201E12</v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93" t="s">
        <v>1196</v>
      </c>
      <c r="B519" s="61" t="s">
        <v>1197</v>
      </c>
      <c r="C519" s="95">
        <v>12.629999999999999</v>
      </c>
      <c r="D519" s="94">
        <v>12.0</v>
      </c>
      <c r="E519" s="94">
        <v>12.0</v>
      </c>
      <c r="F519" s="94">
        <v>288.0</v>
      </c>
      <c r="G519" s="97">
        <v>6.009685850188E12</v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93" t="s">
        <v>608</v>
      </c>
      <c r="B520" s="61" t="s">
        <v>609</v>
      </c>
      <c r="C520" s="95">
        <v>7.45</v>
      </c>
      <c r="D520" s="94">
        <v>12.0</v>
      </c>
      <c r="E520" s="94">
        <v>12.0</v>
      </c>
      <c r="F520" s="94">
        <v>480.0</v>
      </c>
      <c r="G520" s="97">
        <v>6.00960864007E12</v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93" t="s">
        <v>610</v>
      </c>
      <c r="B521" s="61" t="s">
        <v>1198</v>
      </c>
      <c r="C521" s="95">
        <v>19.23</v>
      </c>
      <c r="D521" s="94">
        <v>12.0</v>
      </c>
      <c r="E521" s="94">
        <v>12.0</v>
      </c>
      <c r="F521" s="94">
        <v>144.0</v>
      </c>
      <c r="G521" s="97">
        <v>6.009699518869E12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93" t="s">
        <v>1199</v>
      </c>
      <c r="B522" s="61" t="s">
        <v>1200</v>
      </c>
      <c r="C522" s="95">
        <v>5.29</v>
      </c>
      <c r="D522" s="94">
        <v>12.0</v>
      </c>
      <c r="E522" s="94">
        <v>12.0</v>
      </c>
      <c r="F522" s="94">
        <v>288.0</v>
      </c>
      <c r="G522" s="97">
        <v>6.009608642289E12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93" t="s">
        <v>1201</v>
      </c>
      <c r="B523" s="61" t="s">
        <v>1202</v>
      </c>
      <c r="C523" s="95">
        <v>7.7299999999999995</v>
      </c>
      <c r="D523" s="94">
        <v>12.0</v>
      </c>
      <c r="E523" s="94">
        <v>12.0</v>
      </c>
      <c r="F523" s="94">
        <v>576.0</v>
      </c>
      <c r="G523" s="97">
        <v>6.009685856685E12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93" t="s">
        <v>1203</v>
      </c>
      <c r="B524" s="61" t="s">
        <v>1204</v>
      </c>
      <c r="C524" s="95">
        <v>14.14</v>
      </c>
      <c r="D524" s="94">
        <v>12.0</v>
      </c>
      <c r="E524" s="94">
        <v>12.0</v>
      </c>
      <c r="F524" s="94">
        <v>576.0</v>
      </c>
      <c r="G524" s="97">
        <v>6.009685856715E12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93" t="s">
        <v>1205</v>
      </c>
      <c r="B525" s="61" t="s">
        <v>1206</v>
      </c>
      <c r="C525" s="95">
        <v>9.53</v>
      </c>
      <c r="D525" s="94">
        <v>12.0</v>
      </c>
      <c r="E525" s="94">
        <v>12.0</v>
      </c>
      <c r="F525" s="94">
        <v>288.0</v>
      </c>
      <c r="G525" s="97">
        <v>6.009685856777E12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93" t="s">
        <v>1207</v>
      </c>
      <c r="B526" s="61" t="s">
        <v>1208</v>
      </c>
      <c r="C526" s="95">
        <v>5.87</v>
      </c>
      <c r="D526" s="94">
        <v>12.0</v>
      </c>
      <c r="E526" s="94">
        <v>12.0</v>
      </c>
      <c r="F526" s="94">
        <v>720.0</v>
      </c>
      <c r="G526" s="97">
        <v>6.009608640933E12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93" t="s">
        <v>1209</v>
      </c>
      <c r="B527" s="61" t="s">
        <v>1210</v>
      </c>
      <c r="C527" s="95">
        <v>128.88</v>
      </c>
      <c r="D527" s="94">
        <v>1.0</v>
      </c>
      <c r="E527" s="94" t="s">
        <v>213</v>
      </c>
      <c r="F527" s="94">
        <v>48.0</v>
      </c>
      <c r="G527" s="97">
        <v>6.009698066538E12</v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93" t="s">
        <v>1211</v>
      </c>
      <c r="B528" s="61" t="s">
        <v>1212</v>
      </c>
      <c r="C528" s="95">
        <v>7.859999999999999</v>
      </c>
      <c r="D528" s="94">
        <v>12.0</v>
      </c>
      <c r="E528" s="141">
        <v>12.0</v>
      </c>
      <c r="F528" s="141">
        <v>144.0</v>
      </c>
      <c r="G528" s="97">
        <v>6.009608648731E12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93" t="s">
        <v>1213</v>
      </c>
      <c r="B529" s="61" t="s">
        <v>1214</v>
      </c>
      <c r="C529" s="95">
        <v>10.14</v>
      </c>
      <c r="D529" s="94">
        <v>12.0</v>
      </c>
      <c r="E529" s="141">
        <v>12.0</v>
      </c>
      <c r="F529" s="141">
        <v>576.0</v>
      </c>
      <c r="G529" s="97">
        <v>6.0096995192E12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45" t="s">
        <v>1215</v>
      </c>
      <c r="B530" s="59" t="s">
        <v>1216</v>
      </c>
      <c r="C530" s="95">
        <v>8.9</v>
      </c>
      <c r="D530" s="94">
        <v>12.0</v>
      </c>
      <c r="E530" s="145">
        <v>12.0</v>
      </c>
      <c r="F530" s="145">
        <v>288.0</v>
      </c>
      <c r="G530" s="146" t="s">
        <v>1217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45" t="s">
        <v>616</v>
      </c>
      <c r="B531" s="59" t="s">
        <v>1218</v>
      </c>
      <c r="C531" s="95">
        <v>12.459999999999999</v>
      </c>
      <c r="D531" s="94">
        <v>12.0</v>
      </c>
      <c r="E531" s="145">
        <v>12.0</v>
      </c>
      <c r="F531" s="145">
        <v>288.0</v>
      </c>
      <c r="G531" s="146" t="s">
        <v>618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93"/>
      <c r="B532" s="61"/>
      <c r="C532" s="95"/>
      <c r="D532" s="94"/>
      <c r="E532" s="141"/>
      <c r="F532" s="141"/>
      <c r="G532" s="97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99"/>
      <c r="B533" s="101" t="s">
        <v>176</v>
      </c>
      <c r="C533" s="95"/>
      <c r="D533" s="94"/>
      <c r="E533" s="94"/>
      <c r="F533" s="94"/>
      <c r="G533" s="97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93" t="s">
        <v>1219</v>
      </c>
      <c r="B534" s="61" t="s">
        <v>1220</v>
      </c>
      <c r="C534" s="95">
        <v>9.95</v>
      </c>
      <c r="D534" s="94">
        <v>5.0</v>
      </c>
      <c r="E534" s="94">
        <v>20.0</v>
      </c>
      <c r="F534" s="94">
        <v>100.0</v>
      </c>
      <c r="G534" s="97">
        <v>6.009608642487E12</v>
      </c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93" t="s">
        <v>1221</v>
      </c>
      <c r="B535" s="61" t="s">
        <v>1222</v>
      </c>
      <c r="C535" s="95">
        <v>11.66</v>
      </c>
      <c r="D535" s="94">
        <v>5.0</v>
      </c>
      <c r="E535" s="94">
        <v>10.0</v>
      </c>
      <c r="F535" s="94">
        <v>200.0</v>
      </c>
      <c r="G535" s="97">
        <v>6.009699512263E12</v>
      </c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93" t="s">
        <v>1223</v>
      </c>
      <c r="B536" s="61" t="s">
        <v>1224</v>
      </c>
      <c r="C536" s="95">
        <v>37.23</v>
      </c>
      <c r="D536" s="94">
        <v>12.0</v>
      </c>
      <c r="E536" s="94">
        <v>12.0</v>
      </c>
      <c r="F536" s="94">
        <v>120.0</v>
      </c>
      <c r="G536" s="97">
        <v>6.009608643743E12</v>
      </c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93" t="s">
        <v>1225</v>
      </c>
      <c r="B537" s="61" t="s">
        <v>1226</v>
      </c>
      <c r="C537" s="95">
        <v>19.35</v>
      </c>
      <c r="D537" s="94">
        <v>12.0</v>
      </c>
      <c r="E537" s="94">
        <v>12.0</v>
      </c>
      <c r="F537" s="94">
        <v>144.0</v>
      </c>
      <c r="G537" s="97">
        <v>6.009608640988E12</v>
      </c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93" t="s">
        <v>1227</v>
      </c>
      <c r="B538" s="61" t="s">
        <v>1228</v>
      </c>
      <c r="C538" s="95">
        <v>9.4</v>
      </c>
      <c r="D538" s="94">
        <v>12.0</v>
      </c>
      <c r="E538" s="94">
        <v>12.0</v>
      </c>
      <c r="F538" s="94">
        <v>144.0</v>
      </c>
      <c r="G538" s="97">
        <v>6.009698060826E12</v>
      </c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93" t="s">
        <v>1229</v>
      </c>
      <c r="B539" s="158" t="s">
        <v>1230</v>
      </c>
      <c r="C539" s="95">
        <v>34.339999999999996</v>
      </c>
      <c r="D539" s="94">
        <v>12.0</v>
      </c>
      <c r="E539" s="94">
        <v>12.0</v>
      </c>
      <c r="F539" s="94">
        <v>96.0</v>
      </c>
      <c r="G539" s="148">
        <v>6.009685855671E12</v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93" t="s">
        <v>1231</v>
      </c>
      <c r="B540" s="158" t="s">
        <v>1232</v>
      </c>
      <c r="C540" s="95">
        <v>52.589999999999996</v>
      </c>
      <c r="D540" s="94">
        <v>12.0</v>
      </c>
      <c r="E540" s="94">
        <v>12.0</v>
      </c>
      <c r="F540" s="94">
        <v>72.0</v>
      </c>
      <c r="G540" s="148">
        <v>6.009685855701E12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93" t="s">
        <v>1233</v>
      </c>
      <c r="B541" s="158" t="s">
        <v>1234</v>
      </c>
      <c r="C541" s="95">
        <v>178.17999999999998</v>
      </c>
      <c r="D541" s="94">
        <v>1.0</v>
      </c>
      <c r="E541" s="94" t="s">
        <v>213</v>
      </c>
      <c r="F541" s="94">
        <v>12.0</v>
      </c>
      <c r="G541" s="97">
        <v>6.009699511044E12</v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93"/>
      <c r="B542" s="158"/>
      <c r="C542" s="95"/>
      <c r="D542" s="94"/>
      <c r="E542" s="94"/>
      <c r="F542" s="94"/>
      <c r="G542" s="97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99"/>
      <c r="B543" s="101" t="s">
        <v>179</v>
      </c>
      <c r="C543" s="95"/>
      <c r="D543" s="94"/>
      <c r="E543" s="94"/>
      <c r="F543" s="94"/>
      <c r="G543" s="97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93" t="s">
        <v>1235</v>
      </c>
      <c r="B544" s="61" t="s">
        <v>1236</v>
      </c>
      <c r="C544" s="95">
        <v>10.66</v>
      </c>
      <c r="D544" s="94">
        <v>48.0</v>
      </c>
      <c r="E544" s="94">
        <v>48.0</v>
      </c>
      <c r="F544" s="94">
        <v>288.0</v>
      </c>
      <c r="G544" s="97">
        <v>6.009608640995E12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93" t="s">
        <v>1237</v>
      </c>
      <c r="B545" s="64" t="s">
        <v>1238</v>
      </c>
      <c r="C545" s="95">
        <v>9.06</v>
      </c>
      <c r="D545" s="94">
        <v>12.0</v>
      </c>
      <c r="E545" s="94">
        <v>12.0</v>
      </c>
      <c r="F545" s="94">
        <v>288.0</v>
      </c>
      <c r="G545" s="97">
        <v>6.009608648366E12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159"/>
      <c r="B546" s="160"/>
      <c r="C546" s="161"/>
      <c r="D546" s="162"/>
      <c r="E546" s="162"/>
      <c r="F546" s="162"/>
      <c r="G546" s="163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104"/>
      <c r="B547" s="155"/>
      <c r="C547" s="107"/>
      <c r="D547" s="106"/>
      <c r="E547" s="106"/>
      <c r="F547" s="106"/>
      <c r="G547" s="10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110"/>
      <c r="B548" s="88" t="s">
        <v>182</v>
      </c>
      <c r="C548" s="111"/>
      <c r="D548" s="89"/>
      <c r="E548" s="89"/>
      <c r="F548" s="89"/>
      <c r="G548" s="92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93" t="s">
        <v>1239</v>
      </c>
      <c r="B549" s="61" t="s">
        <v>1240</v>
      </c>
      <c r="C549" s="95">
        <v>16.5</v>
      </c>
      <c r="D549" s="94">
        <v>12.0</v>
      </c>
      <c r="E549" s="94">
        <v>12.0</v>
      </c>
      <c r="F549" s="94">
        <v>144.0</v>
      </c>
      <c r="G549" s="97">
        <v>6.009685850317E12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93"/>
      <c r="B550" s="61"/>
      <c r="C550" s="95"/>
      <c r="D550" s="94"/>
      <c r="E550" s="94"/>
      <c r="F550" s="94"/>
      <c r="G550" s="97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99"/>
      <c r="B551" s="101" t="s">
        <v>185</v>
      </c>
      <c r="C551" s="95"/>
      <c r="D551" s="94"/>
      <c r="E551" s="94"/>
      <c r="F551" s="94"/>
      <c r="G551" s="97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93" t="s">
        <v>1241</v>
      </c>
      <c r="B552" s="61" t="s">
        <v>1242</v>
      </c>
      <c r="C552" s="95">
        <v>6.97</v>
      </c>
      <c r="D552" s="94">
        <v>10.0</v>
      </c>
      <c r="E552" s="94">
        <v>10.0</v>
      </c>
      <c r="F552" s="94">
        <v>500.0</v>
      </c>
      <c r="G552" s="97">
        <v>6.009699518807E12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93" t="s">
        <v>1243</v>
      </c>
      <c r="B553" s="61" t="s">
        <v>1244</v>
      </c>
      <c r="C553" s="95">
        <v>6.97</v>
      </c>
      <c r="D553" s="94">
        <v>10.0</v>
      </c>
      <c r="E553" s="94">
        <v>10.0</v>
      </c>
      <c r="F553" s="94">
        <v>500.0</v>
      </c>
      <c r="G553" s="97">
        <v>6.009699518784E12</v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93" t="s">
        <v>1245</v>
      </c>
      <c r="B554" s="61" t="s">
        <v>1246</v>
      </c>
      <c r="C554" s="95">
        <v>6.97</v>
      </c>
      <c r="D554" s="94">
        <v>10.0</v>
      </c>
      <c r="E554" s="94">
        <v>10.0</v>
      </c>
      <c r="F554" s="94">
        <v>500.0</v>
      </c>
      <c r="G554" s="97">
        <v>6.00969951876E12</v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93" t="s">
        <v>1247</v>
      </c>
      <c r="B555" s="61" t="s">
        <v>1248</v>
      </c>
      <c r="C555" s="95">
        <v>6.97</v>
      </c>
      <c r="D555" s="94">
        <v>10.0</v>
      </c>
      <c r="E555" s="94">
        <v>10.0</v>
      </c>
      <c r="F555" s="94">
        <v>500.0</v>
      </c>
      <c r="G555" s="97">
        <v>6.009699518746E12</v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93" t="s">
        <v>1249</v>
      </c>
      <c r="B556" s="61" t="s">
        <v>1250</v>
      </c>
      <c r="C556" s="95">
        <v>6.97</v>
      </c>
      <c r="D556" s="94">
        <v>10.0</v>
      </c>
      <c r="E556" s="94">
        <v>10.0</v>
      </c>
      <c r="F556" s="94">
        <v>500.0</v>
      </c>
      <c r="G556" s="97">
        <v>6.009699518722E12</v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93"/>
      <c r="B557" s="61"/>
      <c r="C557" s="95"/>
      <c r="D557" s="94"/>
      <c r="E557" s="94"/>
      <c r="F557" s="94"/>
      <c r="G557" s="97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99"/>
      <c r="B558" s="101" t="s">
        <v>188</v>
      </c>
      <c r="C558" s="95"/>
      <c r="D558" s="94"/>
      <c r="E558" s="94"/>
      <c r="F558" s="94"/>
      <c r="G558" s="97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93" t="s">
        <v>1251</v>
      </c>
      <c r="B559" s="61" t="s">
        <v>1252</v>
      </c>
      <c r="C559" s="95">
        <v>6.62</v>
      </c>
      <c r="D559" s="94">
        <v>12.0</v>
      </c>
      <c r="E559" s="94">
        <v>12.0</v>
      </c>
      <c r="F559" s="94">
        <v>360.0</v>
      </c>
      <c r="G559" s="97">
        <v>6.009699519156E12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93" t="s">
        <v>1253</v>
      </c>
      <c r="B560" s="61" t="s">
        <v>1254</v>
      </c>
      <c r="C560" s="95">
        <v>7.6499999999999995</v>
      </c>
      <c r="D560" s="94">
        <v>12.0</v>
      </c>
      <c r="E560" s="94">
        <v>12.0</v>
      </c>
      <c r="F560" s="94">
        <v>360.0</v>
      </c>
      <c r="G560" s="97">
        <v>6.009699519132E12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93" t="s">
        <v>1255</v>
      </c>
      <c r="B561" s="61" t="s">
        <v>1256</v>
      </c>
      <c r="C561" s="95">
        <v>6.84</v>
      </c>
      <c r="D561" s="94">
        <v>12.0</v>
      </c>
      <c r="E561" s="94">
        <v>12.0</v>
      </c>
      <c r="F561" s="94">
        <v>360.0</v>
      </c>
      <c r="G561" s="97">
        <v>6.009699519118E12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93" t="s">
        <v>1257</v>
      </c>
      <c r="B562" s="61" t="s">
        <v>1258</v>
      </c>
      <c r="C562" s="95">
        <v>9.99</v>
      </c>
      <c r="D562" s="94">
        <v>12.0</v>
      </c>
      <c r="E562" s="94">
        <v>12.0</v>
      </c>
      <c r="F562" s="94">
        <v>360.0</v>
      </c>
      <c r="G562" s="97">
        <v>6.009699519095E12</v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93" t="s">
        <v>1259</v>
      </c>
      <c r="B563" s="61" t="s">
        <v>1260</v>
      </c>
      <c r="C563" s="95">
        <v>10.35</v>
      </c>
      <c r="D563" s="94">
        <v>10.0</v>
      </c>
      <c r="E563" s="94">
        <v>20.0</v>
      </c>
      <c r="F563" s="94">
        <v>1000.0</v>
      </c>
      <c r="G563" s="97">
        <v>6.00969951917E12</v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93" t="s">
        <v>1261</v>
      </c>
      <c r="B564" s="61" t="s">
        <v>1262</v>
      </c>
      <c r="C564" s="95">
        <v>47.46</v>
      </c>
      <c r="D564" s="94">
        <v>6.0</v>
      </c>
      <c r="E564" s="94">
        <v>6.0</v>
      </c>
      <c r="F564" s="94">
        <v>90.0</v>
      </c>
      <c r="G564" s="97">
        <v>6.009699519071E12</v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93"/>
      <c r="B565" s="61"/>
      <c r="C565" s="95"/>
      <c r="D565" s="94"/>
      <c r="E565" s="94"/>
      <c r="F565" s="94"/>
      <c r="G565" s="97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99"/>
      <c r="B566" s="101" t="s">
        <v>191</v>
      </c>
      <c r="C566" s="95"/>
      <c r="D566" s="94"/>
      <c r="E566" s="94"/>
      <c r="F566" s="94"/>
      <c r="G566" s="97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93" t="s">
        <v>1263</v>
      </c>
      <c r="B567" s="61" t="s">
        <v>1264</v>
      </c>
      <c r="C567" s="95">
        <v>18.7</v>
      </c>
      <c r="D567" s="94">
        <v>1.0</v>
      </c>
      <c r="E567" s="94" t="s">
        <v>213</v>
      </c>
      <c r="F567" s="94">
        <v>30.0</v>
      </c>
      <c r="G567" s="97">
        <v>6.009608640193E12</v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93" t="s">
        <v>1265</v>
      </c>
      <c r="B568" s="61" t="s">
        <v>1266</v>
      </c>
      <c r="C568" s="95">
        <v>2.96</v>
      </c>
      <c r="D568" s="94">
        <v>12.0</v>
      </c>
      <c r="E568" s="94">
        <v>12.0</v>
      </c>
      <c r="F568" s="94">
        <v>360.0</v>
      </c>
      <c r="G568" s="97">
        <v>6.00963584496E12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93" t="s">
        <v>1267</v>
      </c>
      <c r="B569" s="61" t="s">
        <v>1268</v>
      </c>
      <c r="C569" s="95">
        <v>6.87</v>
      </c>
      <c r="D569" s="94">
        <v>6.0</v>
      </c>
      <c r="E569" s="94">
        <v>6.0</v>
      </c>
      <c r="F569" s="94">
        <v>72.0</v>
      </c>
      <c r="G569" s="97">
        <v>6.00968585197E12</v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93" t="s">
        <v>1269</v>
      </c>
      <c r="B570" s="61" t="s">
        <v>1270</v>
      </c>
      <c r="C570" s="95">
        <v>6.87</v>
      </c>
      <c r="D570" s="94">
        <v>6.0</v>
      </c>
      <c r="E570" s="94">
        <v>6.0</v>
      </c>
      <c r="F570" s="94">
        <v>72.0</v>
      </c>
      <c r="G570" s="97">
        <v>6.009685851987E12</v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93" t="s">
        <v>1271</v>
      </c>
      <c r="B571" s="61" t="s">
        <v>1272</v>
      </c>
      <c r="C571" s="95">
        <v>9.22</v>
      </c>
      <c r="D571" s="94">
        <v>12.0</v>
      </c>
      <c r="E571" s="94">
        <v>24.0</v>
      </c>
      <c r="F571" s="94">
        <v>96.0</v>
      </c>
      <c r="G571" s="97">
        <v>6.009698066408E12</v>
      </c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93" t="s">
        <v>1273</v>
      </c>
      <c r="B572" s="61" t="s">
        <v>1274</v>
      </c>
      <c r="C572" s="95">
        <v>12.18</v>
      </c>
      <c r="D572" s="94">
        <v>12.0</v>
      </c>
      <c r="E572" s="94">
        <v>24.0</v>
      </c>
      <c r="F572" s="94">
        <v>96.0</v>
      </c>
      <c r="G572" s="97">
        <v>6.009699514977E12</v>
      </c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93" t="s">
        <v>1275</v>
      </c>
      <c r="B573" s="61" t="s">
        <v>1276</v>
      </c>
      <c r="C573" s="95">
        <v>11.26</v>
      </c>
      <c r="D573" s="94">
        <v>12.0</v>
      </c>
      <c r="E573" s="94">
        <v>12.0</v>
      </c>
      <c r="F573" s="94">
        <v>144.0</v>
      </c>
      <c r="G573" s="97">
        <v>6.00969951847E12</v>
      </c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93" t="s">
        <v>1277</v>
      </c>
      <c r="B574" s="61" t="s">
        <v>1278</v>
      </c>
      <c r="C574" s="95">
        <v>11.879999999999999</v>
      </c>
      <c r="D574" s="94">
        <v>12.0</v>
      </c>
      <c r="E574" s="94">
        <v>12.0</v>
      </c>
      <c r="F574" s="94">
        <v>144.0</v>
      </c>
      <c r="G574" s="97">
        <v>6.009699518494E12</v>
      </c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93"/>
      <c r="B575" s="61"/>
      <c r="C575" s="95"/>
      <c r="D575" s="94"/>
      <c r="E575" s="94"/>
      <c r="F575" s="94"/>
      <c r="G575" s="97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99"/>
      <c r="B576" s="101" t="s">
        <v>1279</v>
      </c>
      <c r="C576" s="95"/>
      <c r="D576" s="94"/>
      <c r="E576" s="94"/>
      <c r="F576" s="94"/>
      <c r="G576" s="97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99" t="s">
        <v>1280</v>
      </c>
      <c r="B577" s="59" t="s">
        <v>1281</v>
      </c>
      <c r="C577" s="95">
        <v>23.490000000000002</v>
      </c>
      <c r="D577" s="94">
        <v>5.0</v>
      </c>
      <c r="E577" s="94">
        <v>5.0</v>
      </c>
      <c r="F577" s="94">
        <v>20.0</v>
      </c>
      <c r="G577" s="97">
        <v>6.00960864403E12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93" t="s">
        <v>453</v>
      </c>
      <c r="B578" s="61" t="s">
        <v>454</v>
      </c>
      <c r="C578" s="95">
        <v>23.880000000000003</v>
      </c>
      <c r="D578" s="94">
        <v>5.0</v>
      </c>
      <c r="E578" s="94">
        <v>5.0</v>
      </c>
      <c r="F578" s="94">
        <v>20.0</v>
      </c>
      <c r="G578" s="97">
        <v>6.00969951115E12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93" t="s">
        <v>1282</v>
      </c>
      <c r="B579" s="61" t="s">
        <v>1283</v>
      </c>
      <c r="C579" s="95">
        <v>381.49</v>
      </c>
      <c r="D579" s="94">
        <v>1.0</v>
      </c>
      <c r="E579" s="94">
        <v>1.0</v>
      </c>
      <c r="F579" s="94">
        <v>6.0</v>
      </c>
      <c r="G579" s="97">
        <v>6.009699517961E12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93" t="s">
        <v>1284</v>
      </c>
      <c r="B580" s="61" t="s">
        <v>1285</v>
      </c>
      <c r="C580" s="95">
        <v>7.77</v>
      </c>
      <c r="D580" s="94">
        <v>12.0</v>
      </c>
      <c r="E580" s="94">
        <v>12.0</v>
      </c>
      <c r="F580" s="94">
        <v>144.0</v>
      </c>
      <c r="G580" s="97">
        <v>6.009698063971E12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93" t="s">
        <v>1286</v>
      </c>
      <c r="B581" s="61" t="s">
        <v>1287</v>
      </c>
      <c r="C581" s="95">
        <v>24.6</v>
      </c>
      <c r="D581" s="94">
        <v>12.0</v>
      </c>
      <c r="E581" s="94">
        <v>12.0</v>
      </c>
      <c r="F581" s="94">
        <v>144.0</v>
      </c>
      <c r="G581" s="97">
        <v>6.009685856883E12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93" t="s">
        <v>1288</v>
      </c>
      <c r="B582" s="61" t="s">
        <v>1289</v>
      </c>
      <c r="C582" s="95">
        <v>15.34</v>
      </c>
      <c r="D582" s="94">
        <v>12.0</v>
      </c>
      <c r="E582" s="94">
        <v>12.0</v>
      </c>
      <c r="F582" s="94">
        <v>144.0</v>
      </c>
      <c r="G582" s="97">
        <v>6.009698066422E12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93" t="s">
        <v>1290</v>
      </c>
      <c r="B583" s="61" t="s">
        <v>1291</v>
      </c>
      <c r="C583" s="95">
        <v>10.98</v>
      </c>
      <c r="D583" s="94">
        <v>12.0</v>
      </c>
      <c r="E583" s="94">
        <v>12.0</v>
      </c>
      <c r="F583" s="94">
        <v>144.0</v>
      </c>
      <c r="G583" s="97">
        <v>6.009699517169E12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115" t="s">
        <v>1292</v>
      </c>
      <c r="B584" s="61" t="s">
        <v>1293</v>
      </c>
      <c r="C584" s="95">
        <v>12.25</v>
      </c>
      <c r="D584" s="94">
        <v>12.0</v>
      </c>
      <c r="E584" s="94">
        <v>12.0</v>
      </c>
      <c r="F584" s="94">
        <v>144.0</v>
      </c>
      <c r="G584" s="97">
        <v>6.009697790618E12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115" t="s">
        <v>1294</v>
      </c>
      <c r="B585" s="59" t="s">
        <v>1295</v>
      </c>
      <c r="C585" s="95">
        <v>25.860000000000003</v>
      </c>
      <c r="D585" s="94">
        <v>12.0</v>
      </c>
      <c r="E585" s="94">
        <v>12.0</v>
      </c>
      <c r="F585" s="94">
        <v>144.0</v>
      </c>
      <c r="G585" s="97">
        <v>6.009685855428E12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49" t="s">
        <v>1296</v>
      </c>
      <c r="B586" s="149" t="s">
        <v>1297</v>
      </c>
      <c r="C586" s="107">
        <v>43.7</v>
      </c>
      <c r="D586" s="106">
        <v>12.0</v>
      </c>
      <c r="E586" s="156">
        <v>12.0</v>
      </c>
      <c r="F586" s="156">
        <v>144.0</v>
      </c>
      <c r="G586" s="164" t="s">
        <v>1298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123"/>
      <c r="B587" s="33"/>
      <c r="C587" s="165"/>
      <c r="D587" s="73"/>
      <c r="E587" s="73"/>
      <c r="F587" s="73"/>
      <c r="G587" s="73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123"/>
      <c r="B588" s="33"/>
      <c r="C588" s="120"/>
      <c r="D588" s="73"/>
      <c r="E588" s="73"/>
      <c r="F588" s="73"/>
      <c r="G588" s="73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123"/>
      <c r="B589" s="33"/>
      <c r="C589" s="120"/>
      <c r="D589" s="73"/>
      <c r="E589" s="73"/>
      <c r="F589" s="73"/>
      <c r="G589" s="73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123"/>
      <c r="B590" s="33"/>
      <c r="C590" s="120"/>
      <c r="D590" s="73"/>
      <c r="E590" s="73"/>
      <c r="F590" s="73"/>
      <c r="G590" s="73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123"/>
      <c r="B591" s="33"/>
      <c r="C591" s="120"/>
      <c r="D591" s="73"/>
      <c r="E591" s="73"/>
      <c r="F591" s="73"/>
      <c r="G591" s="73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123"/>
      <c r="B592" s="33"/>
      <c r="C592" s="120"/>
      <c r="D592" s="73"/>
      <c r="E592" s="73"/>
      <c r="F592" s="73"/>
      <c r="G592" s="73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123"/>
      <c r="B593" s="33"/>
      <c r="C593" s="120"/>
      <c r="D593" s="73"/>
      <c r="E593" s="73"/>
      <c r="F593" s="73"/>
      <c r="G593" s="73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123"/>
      <c r="B594" s="33"/>
      <c r="C594" s="120"/>
      <c r="D594" s="73"/>
      <c r="E594" s="73"/>
      <c r="F594" s="73"/>
      <c r="G594" s="73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123"/>
      <c r="B595" s="33"/>
      <c r="C595" s="120"/>
      <c r="D595" s="73"/>
      <c r="E595" s="73"/>
      <c r="F595" s="73"/>
      <c r="G595" s="73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123"/>
      <c r="B596" s="33"/>
      <c r="C596" s="120"/>
      <c r="D596" s="73"/>
      <c r="E596" s="73"/>
      <c r="F596" s="73"/>
      <c r="G596" s="73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123"/>
      <c r="B597" s="33"/>
      <c r="C597" s="120"/>
      <c r="D597" s="73"/>
      <c r="E597" s="73"/>
      <c r="F597" s="73"/>
      <c r="G597" s="73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123"/>
      <c r="B598" s="33"/>
      <c r="C598" s="120"/>
      <c r="D598" s="73"/>
      <c r="E598" s="73"/>
      <c r="F598" s="73"/>
      <c r="G598" s="73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123"/>
      <c r="B599" s="33"/>
      <c r="C599" s="120"/>
      <c r="D599" s="73"/>
      <c r="E599" s="73"/>
      <c r="F599" s="73"/>
      <c r="G599" s="73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123"/>
      <c r="B600" s="33"/>
      <c r="C600" s="120"/>
      <c r="D600" s="73"/>
      <c r="E600" s="73"/>
      <c r="F600" s="73"/>
      <c r="G600" s="73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123"/>
      <c r="B601" s="33"/>
      <c r="C601" s="120"/>
      <c r="D601" s="73"/>
      <c r="E601" s="73"/>
      <c r="F601" s="73"/>
      <c r="G601" s="73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123"/>
      <c r="B602" s="33"/>
      <c r="C602" s="120"/>
      <c r="D602" s="73"/>
      <c r="E602" s="73"/>
      <c r="F602" s="73"/>
      <c r="G602" s="73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123"/>
      <c r="B603" s="33"/>
      <c r="C603" s="120"/>
      <c r="D603" s="73"/>
      <c r="E603" s="73"/>
      <c r="F603" s="73"/>
      <c r="G603" s="73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123"/>
      <c r="B604" s="33"/>
      <c r="C604" s="120"/>
      <c r="D604" s="73"/>
      <c r="E604" s="73"/>
      <c r="F604" s="73"/>
      <c r="G604" s="73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123"/>
      <c r="B605" s="33"/>
      <c r="C605" s="120"/>
      <c r="D605" s="73"/>
      <c r="E605" s="73"/>
      <c r="F605" s="73"/>
      <c r="G605" s="73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123"/>
      <c r="B606" s="33"/>
      <c r="C606" s="120"/>
      <c r="D606" s="73"/>
      <c r="E606" s="73"/>
      <c r="F606" s="73"/>
      <c r="G606" s="73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123"/>
      <c r="B607" s="33"/>
      <c r="C607" s="120"/>
      <c r="D607" s="73"/>
      <c r="E607" s="73"/>
      <c r="F607" s="73"/>
      <c r="G607" s="73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123"/>
      <c r="B608" s="33"/>
      <c r="C608" s="120"/>
      <c r="D608" s="73"/>
      <c r="E608" s="73"/>
      <c r="F608" s="73"/>
      <c r="G608" s="73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123"/>
      <c r="B609" s="33"/>
      <c r="C609" s="120"/>
      <c r="D609" s="73"/>
      <c r="E609" s="73"/>
      <c r="F609" s="73"/>
      <c r="G609" s="73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123"/>
      <c r="B610" s="33"/>
      <c r="C610" s="120"/>
      <c r="D610" s="73"/>
      <c r="E610" s="73"/>
      <c r="F610" s="73"/>
      <c r="G610" s="73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123"/>
      <c r="B611" s="33"/>
      <c r="C611" s="120"/>
      <c r="D611" s="73"/>
      <c r="E611" s="73"/>
      <c r="F611" s="73"/>
      <c r="G611" s="73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123"/>
      <c r="B612" s="33"/>
      <c r="C612" s="120"/>
      <c r="D612" s="73"/>
      <c r="E612" s="73"/>
      <c r="F612" s="73"/>
      <c r="G612" s="73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123"/>
      <c r="B613" s="33"/>
      <c r="C613" s="120"/>
      <c r="D613" s="73"/>
      <c r="E613" s="73"/>
      <c r="F613" s="73"/>
      <c r="G613" s="73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123"/>
      <c r="B614" s="33"/>
      <c r="C614" s="120"/>
      <c r="D614" s="73"/>
      <c r="E614" s="73"/>
      <c r="F614" s="73"/>
      <c r="G614" s="73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123"/>
      <c r="B615" s="33"/>
      <c r="C615" s="120"/>
      <c r="D615" s="73"/>
      <c r="E615" s="73"/>
      <c r="F615" s="73"/>
      <c r="G615" s="73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123"/>
      <c r="B616" s="33"/>
      <c r="C616" s="120"/>
      <c r="D616" s="73"/>
      <c r="E616" s="73"/>
      <c r="F616" s="73"/>
      <c r="G616" s="73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123"/>
      <c r="B617" s="33"/>
      <c r="C617" s="120"/>
      <c r="D617" s="73"/>
      <c r="E617" s="73"/>
      <c r="F617" s="73"/>
      <c r="G617" s="73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123"/>
      <c r="B618" s="33"/>
      <c r="C618" s="120"/>
      <c r="D618" s="73"/>
      <c r="E618" s="73"/>
      <c r="F618" s="73"/>
      <c r="G618" s="73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123"/>
      <c r="B619" s="33"/>
      <c r="C619" s="120"/>
      <c r="D619" s="73"/>
      <c r="E619" s="73"/>
      <c r="F619" s="73"/>
      <c r="G619" s="73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123"/>
      <c r="B620" s="33"/>
      <c r="C620" s="120"/>
      <c r="D620" s="73"/>
      <c r="E620" s="73"/>
      <c r="F620" s="73"/>
      <c r="G620" s="73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123"/>
      <c r="B621" s="33"/>
      <c r="C621" s="120"/>
      <c r="D621" s="73"/>
      <c r="E621" s="73"/>
      <c r="F621" s="73"/>
      <c r="G621" s="73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123"/>
      <c r="B622" s="33"/>
      <c r="C622" s="120"/>
      <c r="D622" s="73"/>
      <c r="E622" s="73"/>
      <c r="F622" s="73"/>
      <c r="G622" s="73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123"/>
      <c r="B623" s="33"/>
      <c r="C623" s="120"/>
      <c r="D623" s="73"/>
      <c r="E623" s="73"/>
      <c r="F623" s="73"/>
      <c r="G623" s="73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123"/>
      <c r="B624" s="33"/>
      <c r="C624" s="120"/>
      <c r="D624" s="73"/>
      <c r="E624" s="73"/>
      <c r="F624" s="73"/>
      <c r="G624" s="73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123"/>
      <c r="B625" s="33"/>
      <c r="C625" s="120"/>
      <c r="D625" s="73"/>
      <c r="E625" s="73"/>
      <c r="F625" s="73"/>
      <c r="G625" s="73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123"/>
      <c r="B626" s="33"/>
      <c r="C626" s="120"/>
      <c r="D626" s="73"/>
      <c r="E626" s="73"/>
      <c r="F626" s="73"/>
      <c r="G626" s="73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123"/>
      <c r="B627" s="33"/>
      <c r="C627" s="120"/>
      <c r="D627" s="73"/>
      <c r="E627" s="73"/>
      <c r="F627" s="73"/>
      <c r="G627" s="73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123"/>
      <c r="B628" s="33"/>
      <c r="C628" s="120"/>
      <c r="D628" s="73"/>
      <c r="E628" s="73"/>
      <c r="F628" s="73"/>
      <c r="G628" s="73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123"/>
      <c r="B629" s="33"/>
      <c r="C629" s="120"/>
      <c r="D629" s="73"/>
      <c r="E629" s="73"/>
      <c r="F629" s="73"/>
      <c r="G629" s="73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123"/>
      <c r="B630" s="33"/>
      <c r="C630" s="120"/>
      <c r="D630" s="73"/>
      <c r="E630" s="73"/>
      <c r="F630" s="73"/>
      <c r="G630" s="73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123"/>
      <c r="B631" s="33"/>
      <c r="C631" s="120"/>
      <c r="D631" s="73"/>
      <c r="E631" s="73"/>
      <c r="F631" s="73"/>
      <c r="G631" s="73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123"/>
      <c r="B632" s="33"/>
      <c r="C632" s="120"/>
      <c r="D632" s="73"/>
      <c r="E632" s="73"/>
      <c r="F632" s="73"/>
      <c r="G632" s="73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123"/>
      <c r="B633" s="33"/>
      <c r="C633" s="120"/>
      <c r="D633" s="73"/>
      <c r="E633" s="73"/>
      <c r="F633" s="73"/>
      <c r="G633" s="73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123"/>
      <c r="B634" s="33"/>
      <c r="C634" s="120"/>
      <c r="D634" s="73"/>
      <c r="E634" s="73"/>
      <c r="F634" s="73"/>
      <c r="G634" s="73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123"/>
      <c r="B635" s="33"/>
      <c r="C635" s="120"/>
      <c r="D635" s="73"/>
      <c r="E635" s="73"/>
      <c r="F635" s="73"/>
      <c r="G635" s="73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123"/>
      <c r="B636" s="33"/>
      <c r="C636" s="120"/>
      <c r="D636" s="73"/>
      <c r="E636" s="73"/>
      <c r="F636" s="73"/>
      <c r="G636" s="73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123"/>
      <c r="B637" s="33"/>
      <c r="C637" s="120"/>
      <c r="D637" s="73"/>
      <c r="E637" s="73"/>
      <c r="F637" s="73"/>
      <c r="G637" s="73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123"/>
      <c r="B638" s="33"/>
      <c r="C638" s="120"/>
      <c r="D638" s="73"/>
      <c r="E638" s="73"/>
      <c r="F638" s="73"/>
      <c r="G638" s="73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123"/>
      <c r="B639" s="33"/>
      <c r="C639" s="120"/>
      <c r="D639" s="73"/>
      <c r="E639" s="73"/>
      <c r="F639" s="73"/>
      <c r="G639" s="73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123"/>
      <c r="B640" s="33"/>
      <c r="C640" s="120"/>
      <c r="D640" s="73"/>
      <c r="E640" s="73"/>
      <c r="F640" s="73"/>
      <c r="G640" s="73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123"/>
      <c r="B641" s="33"/>
      <c r="C641" s="120"/>
      <c r="D641" s="73"/>
      <c r="E641" s="73"/>
      <c r="F641" s="73"/>
      <c r="G641" s="73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123"/>
      <c r="B642" s="33"/>
      <c r="C642" s="120"/>
      <c r="D642" s="73"/>
      <c r="E642" s="73"/>
      <c r="F642" s="73"/>
      <c r="G642" s="73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123"/>
      <c r="B643" s="33"/>
      <c r="C643" s="120"/>
      <c r="D643" s="73"/>
      <c r="E643" s="73"/>
      <c r="F643" s="73"/>
      <c r="G643" s="73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123"/>
      <c r="B644" s="33"/>
      <c r="C644" s="120"/>
      <c r="D644" s="73"/>
      <c r="E644" s="73"/>
      <c r="F644" s="73"/>
      <c r="G644" s="73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123"/>
      <c r="B645" s="33"/>
      <c r="C645" s="120"/>
      <c r="D645" s="73"/>
      <c r="E645" s="73"/>
      <c r="F645" s="73"/>
      <c r="G645" s="73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123"/>
      <c r="B646" s="33"/>
      <c r="C646" s="120"/>
      <c r="D646" s="73"/>
      <c r="E646" s="73"/>
      <c r="F646" s="73"/>
      <c r="G646" s="73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123"/>
      <c r="B647" s="33"/>
      <c r="C647" s="120"/>
      <c r="D647" s="73"/>
      <c r="E647" s="73"/>
      <c r="F647" s="73"/>
      <c r="G647" s="73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123"/>
      <c r="B648" s="33"/>
      <c r="C648" s="120"/>
      <c r="D648" s="73"/>
      <c r="E648" s="73"/>
      <c r="F648" s="73"/>
      <c r="G648" s="73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123"/>
      <c r="B649" s="33"/>
      <c r="C649" s="120"/>
      <c r="D649" s="73"/>
      <c r="E649" s="73"/>
      <c r="F649" s="73"/>
      <c r="G649" s="73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123"/>
      <c r="B650" s="33"/>
      <c r="C650" s="120"/>
      <c r="D650" s="73"/>
      <c r="E650" s="73"/>
      <c r="F650" s="73"/>
      <c r="G650" s="73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123"/>
      <c r="B651" s="33"/>
      <c r="C651" s="120"/>
      <c r="D651" s="73"/>
      <c r="E651" s="73"/>
      <c r="F651" s="73"/>
      <c r="G651" s="73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123"/>
      <c r="B652" s="33"/>
      <c r="C652" s="120"/>
      <c r="D652" s="73"/>
      <c r="E652" s="73"/>
      <c r="F652" s="73"/>
      <c r="G652" s="73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123"/>
      <c r="B653" s="33"/>
      <c r="C653" s="120"/>
      <c r="D653" s="73"/>
      <c r="E653" s="73"/>
      <c r="F653" s="73"/>
      <c r="G653" s="73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123"/>
      <c r="B654" s="33"/>
      <c r="C654" s="120"/>
      <c r="D654" s="73"/>
      <c r="E654" s="73"/>
      <c r="F654" s="73"/>
      <c r="G654" s="73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123"/>
      <c r="B655" s="33"/>
      <c r="C655" s="120"/>
      <c r="D655" s="73"/>
      <c r="E655" s="73"/>
      <c r="F655" s="73"/>
      <c r="G655" s="73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123"/>
      <c r="B656" s="33"/>
      <c r="C656" s="120"/>
      <c r="D656" s="73"/>
      <c r="E656" s="73"/>
      <c r="F656" s="73"/>
      <c r="G656" s="73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123"/>
      <c r="B657" s="33"/>
      <c r="C657" s="120"/>
      <c r="D657" s="73"/>
      <c r="E657" s="73"/>
      <c r="F657" s="73"/>
      <c r="G657" s="73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123"/>
      <c r="B658" s="33"/>
      <c r="C658" s="120"/>
      <c r="D658" s="73"/>
      <c r="E658" s="73"/>
      <c r="F658" s="73"/>
      <c r="G658" s="73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123"/>
      <c r="B659" s="33"/>
      <c r="C659" s="120"/>
      <c r="D659" s="73"/>
      <c r="E659" s="73"/>
      <c r="F659" s="73"/>
      <c r="G659" s="73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123"/>
      <c r="B660" s="33"/>
      <c r="C660" s="120"/>
      <c r="D660" s="73"/>
      <c r="E660" s="73"/>
      <c r="F660" s="73"/>
      <c r="G660" s="73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123"/>
      <c r="B661" s="33"/>
      <c r="C661" s="120"/>
      <c r="D661" s="73"/>
      <c r="E661" s="73"/>
      <c r="F661" s="73"/>
      <c r="G661" s="73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123"/>
      <c r="B662" s="33"/>
      <c r="C662" s="120"/>
      <c r="D662" s="73"/>
      <c r="E662" s="73"/>
      <c r="F662" s="73"/>
      <c r="G662" s="73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123"/>
      <c r="B663" s="33"/>
      <c r="C663" s="120"/>
      <c r="D663" s="73"/>
      <c r="E663" s="73"/>
      <c r="F663" s="73"/>
      <c r="G663" s="73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123"/>
      <c r="B664" s="33"/>
      <c r="C664" s="120"/>
      <c r="D664" s="73"/>
      <c r="E664" s="73"/>
      <c r="F664" s="73"/>
      <c r="G664" s="73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123"/>
      <c r="B665" s="33"/>
      <c r="C665" s="120"/>
      <c r="D665" s="73"/>
      <c r="E665" s="73"/>
      <c r="F665" s="73"/>
      <c r="G665" s="73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123"/>
      <c r="B666" s="33"/>
      <c r="C666" s="120"/>
      <c r="D666" s="73"/>
      <c r="E666" s="73"/>
      <c r="F666" s="73"/>
      <c r="G666" s="73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123"/>
      <c r="B667" s="33"/>
      <c r="C667" s="120"/>
      <c r="D667" s="73"/>
      <c r="E667" s="73"/>
      <c r="F667" s="73"/>
      <c r="G667" s="73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123"/>
      <c r="B668" s="33"/>
      <c r="C668" s="120"/>
      <c r="D668" s="73"/>
      <c r="E668" s="73"/>
      <c r="F668" s="73"/>
      <c r="G668" s="73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123"/>
      <c r="B669" s="33"/>
      <c r="C669" s="120"/>
      <c r="D669" s="73"/>
      <c r="E669" s="73"/>
      <c r="F669" s="73"/>
      <c r="G669" s="73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123"/>
      <c r="B670" s="33"/>
      <c r="C670" s="120"/>
      <c r="D670" s="73"/>
      <c r="E670" s="73"/>
      <c r="F670" s="73"/>
      <c r="G670" s="73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123"/>
      <c r="B671" s="33"/>
      <c r="C671" s="120"/>
      <c r="D671" s="73"/>
      <c r="E671" s="73"/>
      <c r="F671" s="73"/>
      <c r="G671" s="73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123"/>
      <c r="B672" s="33"/>
      <c r="C672" s="120"/>
      <c r="D672" s="73"/>
      <c r="E672" s="73"/>
      <c r="F672" s="73"/>
      <c r="G672" s="73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123"/>
      <c r="B673" s="33"/>
      <c r="C673" s="120"/>
      <c r="D673" s="73"/>
      <c r="E673" s="73"/>
      <c r="F673" s="73"/>
      <c r="G673" s="73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123"/>
      <c r="B674" s="33"/>
      <c r="C674" s="120"/>
      <c r="D674" s="73"/>
      <c r="E674" s="73"/>
      <c r="F674" s="73"/>
      <c r="G674" s="73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123"/>
      <c r="B675" s="33"/>
      <c r="C675" s="120"/>
      <c r="D675" s="73"/>
      <c r="E675" s="73"/>
      <c r="F675" s="73"/>
      <c r="G675" s="73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123"/>
      <c r="B676" s="33"/>
      <c r="C676" s="120"/>
      <c r="D676" s="73"/>
      <c r="E676" s="73"/>
      <c r="F676" s="73"/>
      <c r="G676" s="73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123"/>
      <c r="B677" s="33"/>
      <c r="C677" s="120"/>
      <c r="D677" s="73"/>
      <c r="E677" s="73"/>
      <c r="F677" s="73"/>
      <c r="G677" s="73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123"/>
      <c r="B678" s="33"/>
      <c r="C678" s="120"/>
      <c r="D678" s="73"/>
      <c r="E678" s="73"/>
      <c r="F678" s="73"/>
      <c r="G678" s="73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123"/>
      <c r="B679" s="33"/>
      <c r="C679" s="120"/>
      <c r="D679" s="73"/>
      <c r="E679" s="73"/>
      <c r="F679" s="73"/>
      <c r="G679" s="73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123"/>
      <c r="B680" s="33"/>
      <c r="C680" s="120"/>
      <c r="D680" s="73"/>
      <c r="E680" s="73"/>
      <c r="F680" s="73"/>
      <c r="G680" s="73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123"/>
      <c r="B681" s="33"/>
      <c r="C681" s="120"/>
      <c r="D681" s="73"/>
      <c r="E681" s="73"/>
      <c r="F681" s="73"/>
      <c r="G681" s="73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123"/>
      <c r="B682" s="33"/>
      <c r="C682" s="120"/>
      <c r="D682" s="73"/>
      <c r="E682" s="73"/>
      <c r="F682" s="73"/>
      <c r="G682" s="73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123"/>
      <c r="B683" s="33"/>
      <c r="C683" s="120"/>
      <c r="D683" s="73"/>
      <c r="E683" s="73"/>
      <c r="F683" s="73"/>
      <c r="G683" s="73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123"/>
      <c r="B684" s="33"/>
      <c r="C684" s="120"/>
      <c r="D684" s="73"/>
      <c r="E684" s="73"/>
      <c r="F684" s="73"/>
      <c r="G684" s="73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123"/>
      <c r="B685" s="33"/>
      <c r="C685" s="120"/>
      <c r="D685" s="73"/>
      <c r="E685" s="73"/>
      <c r="F685" s="73"/>
      <c r="G685" s="73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123"/>
      <c r="B686" s="33"/>
      <c r="C686" s="120"/>
      <c r="D686" s="73"/>
      <c r="E686" s="73"/>
      <c r="F686" s="73"/>
      <c r="G686" s="73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123"/>
      <c r="B687" s="33"/>
      <c r="C687" s="120"/>
      <c r="D687" s="73"/>
      <c r="E687" s="73"/>
      <c r="F687" s="73"/>
      <c r="G687" s="73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123"/>
      <c r="B688" s="33"/>
      <c r="C688" s="120"/>
      <c r="D688" s="73"/>
      <c r="E688" s="73"/>
      <c r="F688" s="73"/>
      <c r="G688" s="73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123"/>
      <c r="B689" s="33"/>
      <c r="C689" s="120"/>
      <c r="D689" s="73"/>
      <c r="E689" s="73"/>
      <c r="F689" s="73"/>
      <c r="G689" s="73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123"/>
      <c r="B690" s="33"/>
      <c r="C690" s="120"/>
      <c r="D690" s="73"/>
      <c r="E690" s="73"/>
      <c r="F690" s="73"/>
      <c r="G690" s="73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123"/>
      <c r="B691" s="33"/>
      <c r="C691" s="120"/>
      <c r="D691" s="73"/>
      <c r="E691" s="73"/>
      <c r="F691" s="73"/>
      <c r="G691" s="73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123"/>
      <c r="B692" s="33"/>
      <c r="C692" s="120"/>
      <c r="D692" s="73"/>
      <c r="E692" s="73"/>
      <c r="F692" s="73"/>
      <c r="G692" s="73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123"/>
      <c r="B693" s="33"/>
      <c r="C693" s="120"/>
      <c r="D693" s="73"/>
      <c r="E693" s="73"/>
      <c r="F693" s="73"/>
      <c r="G693" s="73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123"/>
      <c r="B694" s="33"/>
      <c r="C694" s="120"/>
      <c r="D694" s="73"/>
      <c r="E694" s="73"/>
      <c r="F694" s="73"/>
      <c r="G694" s="73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123"/>
      <c r="B695" s="33"/>
      <c r="C695" s="120"/>
      <c r="D695" s="73"/>
      <c r="E695" s="73"/>
      <c r="F695" s="73"/>
      <c r="G695" s="73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123"/>
      <c r="B696" s="33"/>
      <c r="C696" s="120"/>
      <c r="D696" s="73"/>
      <c r="E696" s="73"/>
      <c r="F696" s="73"/>
      <c r="G696" s="73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123"/>
      <c r="B697" s="33"/>
      <c r="C697" s="120"/>
      <c r="D697" s="73"/>
      <c r="E697" s="73"/>
      <c r="F697" s="73"/>
      <c r="G697" s="73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123"/>
      <c r="B698" s="33"/>
      <c r="C698" s="120"/>
      <c r="D698" s="73"/>
      <c r="E698" s="73"/>
      <c r="F698" s="73"/>
      <c r="G698" s="73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123"/>
      <c r="B699" s="33"/>
      <c r="C699" s="120"/>
      <c r="D699" s="73"/>
      <c r="E699" s="73"/>
      <c r="F699" s="73"/>
      <c r="G699" s="73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123"/>
      <c r="B700" s="33"/>
      <c r="C700" s="120"/>
      <c r="D700" s="73"/>
      <c r="E700" s="73"/>
      <c r="F700" s="73"/>
      <c r="G700" s="73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123"/>
      <c r="B701" s="33"/>
      <c r="C701" s="120"/>
      <c r="D701" s="73"/>
      <c r="E701" s="73"/>
      <c r="F701" s="73"/>
      <c r="G701" s="73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123"/>
      <c r="B702" s="33"/>
      <c r="C702" s="120"/>
      <c r="D702" s="73"/>
      <c r="E702" s="73"/>
      <c r="F702" s="73"/>
      <c r="G702" s="73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123"/>
      <c r="B703" s="33"/>
      <c r="C703" s="120"/>
      <c r="D703" s="73"/>
      <c r="E703" s="73"/>
      <c r="F703" s="73"/>
      <c r="G703" s="73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123"/>
      <c r="B704" s="33"/>
      <c r="C704" s="120"/>
      <c r="D704" s="73"/>
      <c r="E704" s="73"/>
      <c r="F704" s="73"/>
      <c r="G704" s="73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123"/>
      <c r="B705" s="33"/>
      <c r="C705" s="120"/>
      <c r="D705" s="73"/>
      <c r="E705" s="73"/>
      <c r="F705" s="73"/>
      <c r="G705" s="73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123"/>
      <c r="B706" s="33"/>
      <c r="C706" s="120"/>
      <c r="D706" s="73"/>
      <c r="E706" s="73"/>
      <c r="F706" s="73"/>
      <c r="G706" s="73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123"/>
      <c r="B707" s="33"/>
      <c r="C707" s="120"/>
      <c r="D707" s="73"/>
      <c r="E707" s="73"/>
      <c r="F707" s="73"/>
      <c r="G707" s="73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123"/>
      <c r="B708" s="33"/>
      <c r="C708" s="120"/>
      <c r="D708" s="73"/>
      <c r="E708" s="73"/>
      <c r="F708" s="73"/>
      <c r="G708" s="73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123"/>
      <c r="B709" s="33"/>
      <c r="C709" s="120"/>
      <c r="D709" s="73"/>
      <c r="E709" s="73"/>
      <c r="F709" s="73"/>
      <c r="G709" s="73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123"/>
      <c r="B710" s="33"/>
      <c r="C710" s="120"/>
      <c r="D710" s="73"/>
      <c r="E710" s="73"/>
      <c r="F710" s="73"/>
      <c r="G710" s="73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123"/>
      <c r="B711" s="33"/>
      <c r="C711" s="120"/>
      <c r="D711" s="73"/>
      <c r="E711" s="73"/>
      <c r="F711" s="73"/>
      <c r="G711" s="73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123"/>
      <c r="B712" s="33"/>
      <c r="C712" s="120"/>
      <c r="D712" s="73"/>
      <c r="E712" s="73"/>
      <c r="F712" s="73"/>
      <c r="G712" s="73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123"/>
      <c r="B713" s="33"/>
      <c r="C713" s="120"/>
      <c r="D713" s="73"/>
      <c r="E713" s="73"/>
      <c r="F713" s="73"/>
      <c r="G713" s="73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123"/>
      <c r="B714" s="33"/>
      <c r="C714" s="120"/>
      <c r="D714" s="73"/>
      <c r="E714" s="73"/>
      <c r="F714" s="73"/>
      <c r="G714" s="73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123"/>
      <c r="B715" s="33"/>
      <c r="C715" s="120"/>
      <c r="D715" s="73"/>
      <c r="E715" s="73"/>
      <c r="F715" s="73"/>
      <c r="G715" s="73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123"/>
      <c r="B716" s="33"/>
      <c r="C716" s="120"/>
      <c r="D716" s="73"/>
      <c r="E716" s="73"/>
      <c r="F716" s="73"/>
      <c r="G716" s="73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123"/>
      <c r="B717" s="33"/>
      <c r="C717" s="120"/>
      <c r="D717" s="73"/>
      <c r="E717" s="73"/>
      <c r="F717" s="73"/>
      <c r="G717" s="73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123"/>
      <c r="B718" s="33"/>
      <c r="C718" s="120"/>
      <c r="D718" s="73"/>
      <c r="E718" s="73"/>
      <c r="F718" s="73"/>
      <c r="G718" s="73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123"/>
      <c r="B719" s="33"/>
      <c r="C719" s="120"/>
      <c r="D719" s="73"/>
      <c r="E719" s="73"/>
      <c r="F719" s="73"/>
      <c r="G719" s="73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123"/>
      <c r="B720" s="33"/>
      <c r="C720" s="120"/>
      <c r="D720" s="73"/>
      <c r="E720" s="73"/>
      <c r="F720" s="73"/>
      <c r="G720" s="73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123"/>
      <c r="B721" s="33"/>
      <c r="C721" s="120"/>
      <c r="D721" s="73"/>
      <c r="E721" s="73"/>
      <c r="F721" s="73"/>
      <c r="G721" s="73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123"/>
      <c r="B722" s="33"/>
      <c r="C722" s="120"/>
      <c r="D722" s="73"/>
      <c r="E722" s="73"/>
      <c r="F722" s="73"/>
      <c r="G722" s="73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123"/>
      <c r="B723" s="33"/>
      <c r="C723" s="120"/>
      <c r="D723" s="73"/>
      <c r="E723" s="73"/>
      <c r="F723" s="73"/>
      <c r="G723" s="73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123"/>
      <c r="B724" s="33"/>
      <c r="C724" s="120"/>
      <c r="D724" s="73"/>
      <c r="E724" s="73"/>
      <c r="F724" s="73"/>
      <c r="G724" s="73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123"/>
      <c r="B725" s="33"/>
      <c r="C725" s="120"/>
      <c r="D725" s="73"/>
      <c r="E725" s="73"/>
      <c r="F725" s="73"/>
      <c r="G725" s="73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123"/>
      <c r="B726" s="33"/>
      <c r="C726" s="120"/>
      <c r="D726" s="73"/>
      <c r="E726" s="73"/>
      <c r="F726" s="73"/>
      <c r="G726" s="73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123"/>
      <c r="B727" s="33"/>
      <c r="C727" s="120"/>
      <c r="D727" s="73"/>
      <c r="E727" s="73"/>
      <c r="F727" s="73"/>
      <c r="G727" s="73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123"/>
      <c r="B728" s="33"/>
      <c r="C728" s="120"/>
      <c r="D728" s="73"/>
      <c r="E728" s="73"/>
      <c r="F728" s="73"/>
      <c r="G728" s="73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123"/>
      <c r="B729" s="33"/>
      <c r="C729" s="120"/>
      <c r="D729" s="73"/>
      <c r="E729" s="73"/>
      <c r="F729" s="73"/>
      <c r="G729" s="73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123"/>
      <c r="B730" s="33"/>
      <c r="C730" s="120"/>
      <c r="D730" s="73"/>
      <c r="E730" s="73"/>
      <c r="F730" s="73"/>
      <c r="G730" s="73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123"/>
      <c r="B731" s="33"/>
      <c r="C731" s="120"/>
      <c r="D731" s="73"/>
      <c r="E731" s="73"/>
      <c r="F731" s="73"/>
      <c r="G731" s="73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123"/>
      <c r="B732" s="33"/>
      <c r="C732" s="120"/>
      <c r="D732" s="73"/>
      <c r="E732" s="73"/>
      <c r="F732" s="73"/>
      <c r="G732" s="73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123"/>
      <c r="B733" s="33"/>
      <c r="C733" s="120"/>
      <c r="D733" s="73"/>
      <c r="E733" s="73"/>
      <c r="F733" s="73"/>
      <c r="G733" s="73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123"/>
      <c r="B734" s="33"/>
      <c r="C734" s="120"/>
      <c r="D734" s="73"/>
      <c r="E734" s="73"/>
      <c r="F734" s="73"/>
      <c r="G734" s="73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123"/>
      <c r="B735" s="33"/>
      <c r="C735" s="120"/>
      <c r="D735" s="73"/>
      <c r="E735" s="73"/>
      <c r="F735" s="73"/>
      <c r="G735" s="73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123"/>
      <c r="B736" s="33"/>
      <c r="C736" s="120"/>
      <c r="D736" s="73"/>
      <c r="E736" s="73"/>
      <c r="F736" s="73"/>
      <c r="G736" s="73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123"/>
      <c r="B737" s="33"/>
      <c r="C737" s="120"/>
      <c r="D737" s="73"/>
      <c r="E737" s="73"/>
      <c r="F737" s="73"/>
      <c r="G737" s="73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123"/>
      <c r="B738" s="33"/>
      <c r="C738" s="120"/>
      <c r="D738" s="73"/>
      <c r="E738" s="73"/>
      <c r="F738" s="73"/>
      <c r="G738" s="73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123"/>
      <c r="B739" s="33"/>
      <c r="C739" s="120"/>
      <c r="D739" s="73"/>
      <c r="E739" s="73"/>
      <c r="F739" s="73"/>
      <c r="G739" s="73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123"/>
      <c r="B740" s="33"/>
      <c r="C740" s="120"/>
      <c r="D740" s="73"/>
      <c r="E740" s="73"/>
      <c r="F740" s="73"/>
      <c r="G740" s="73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123"/>
      <c r="B741" s="33"/>
      <c r="C741" s="120"/>
      <c r="D741" s="73"/>
      <c r="E741" s="73"/>
      <c r="F741" s="73"/>
      <c r="G741" s="73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123"/>
      <c r="B742" s="33"/>
      <c r="C742" s="120"/>
      <c r="D742" s="73"/>
      <c r="E742" s="73"/>
      <c r="F742" s="73"/>
      <c r="G742" s="73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123"/>
      <c r="B743" s="33"/>
      <c r="C743" s="120"/>
      <c r="D743" s="73"/>
      <c r="E743" s="73"/>
      <c r="F743" s="73"/>
      <c r="G743" s="73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123"/>
      <c r="B744" s="33"/>
      <c r="C744" s="120"/>
      <c r="D744" s="73"/>
      <c r="E744" s="73"/>
      <c r="F744" s="73"/>
      <c r="G744" s="73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123"/>
      <c r="B745" s="33"/>
      <c r="C745" s="120"/>
      <c r="D745" s="73"/>
      <c r="E745" s="73"/>
      <c r="F745" s="73"/>
      <c r="G745" s="73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123"/>
      <c r="B746" s="33"/>
      <c r="C746" s="120"/>
      <c r="D746" s="73"/>
      <c r="E746" s="73"/>
      <c r="F746" s="73"/>
      <c r="G746" s="73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123"/>
      <c r="B747" s="33"/>
      <c r="C747" s="120"/>
      <c r="D747" s="73"/>
      <c r="E747" s="73"/>
      <c r="F747" s="73"/>
      <c r="G747" s="73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123"/>
      <c r="B748" s="33"/>
      <c r="C748" s="120"/>
      <c r="D748" s="73"/>
      <c r="E748" s="73"/>
      <c r="F748" s="73"/>
      <c r="G748" s="73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123"/>
      <c r="B749" s="33"/>
      <c r="C749" s="120"/>
      <c r="D749" s="73"/>
      <c r="E749" s="73"/>
      <c r="F749" s="73"/>
      <c r="G749" s="73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123"/>
      <c r="B750" s="33"/>
      <c r="C750" s="120"/>
      <c r="D750" s="73"/>
      <c r="E750" s="73"/>
      <c r="F750" s="73"/>
      <c r="G750" s="73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123"/>
      <c r="B751" s="33"/>
      <c r="C751" s="120"/>
      <c r="D751" s="73"/>
      <c r="E751" s="73"/>
      <c r="F751" s="73"/>
      <c r="G751" s="73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123"/>
      <c r="B752" s="33"/>
      <c r="C752" s="120"/>
      <c r="D752" s="73"/>
      <c r="E752" s="73"/>
      <c r="F752" s="73"/>
      <c r="G752" s="73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123"/>
      <c r="B753" s="33"/>
      <c r="C753" s="120"/>
      <c r="D753" s="73"/>
      <c r="E753" s="73"/>
      <c r="F753" s="73"/>
      <c r="G753" s="73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123"/>
      <c r="B754" s="33"/>
      <c r="C754" s="120"/>
      <c r="D754" s="73"/>
      <c r="E754" s="73"/>
      <c r="F754" s="73"/>
      <c r="G754" s="73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123"/>
      <c r="B755" s="33"/>
      <c r="C755" s="120"/>
      <c r="D755" s="73"/>
      <c r="E755" s="73"/>
      <c r="F755" s="73"/>
      <c r="G755" s="73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123"/>
      <c r="B756" s="33"/>
      <c r="C756" s="120"/>
      <c r="D756" s="73"/>
      <c r="E756" s="73"/>
      <c r="F756" s="73"/>
      <c r="G756" s="73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123"/>
      <c r="B757" s="33"/>
      <c r="C757" s="120"/>
      <c r="D757" s="73"/>
      <c r="E757" s="73"/>
      <c r="F757" s="73"/>
      <c r="G757" s="73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123"/>
      <c r="B758" s="33"/>
      <c r="C758" s="120"/>
      <c r="D758" s="73"/>
      <c r="E758" s="73"/>
      <c r="F758" s="73"/>
      <c r="G758" s="73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123"/>
      <c r="B759" s="33"/>
      <c r="C759" s="120"/>
      <c r="D759" s="73"/>
      <c r="E759" s="73"/>
      <c r="F759" s="73"/>
      <c r="G759" s="73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123"/>
      <c r="B760" s="33"/>
      <c r="C760" s="120"/>
      <c r="D760" s="73"/>
      <c r="E760" s="73"/>
      <c r="F760" s="73"/>
      <c r="G760" s="73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123"/>
      <c r="B761" s="33"/>
      <c r="C761" s="120"/>
      <c r="D761" s="73"/>
      <c r="E761" s="73"/>
      <c r="F761" s="73"/>
      <c r="G761" s="73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123"/>
      <c r="B762" s="33"/>
      <c r="C762" s="120"/>
      <c r="D762" s="73"/>
      <c r="E762" s="73"/>
      <c r="F762" s="73"/>
      <c r="G762" s="73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123"/>
      <c r="B763" s="33"/>
      <c r="C763" s="120"/>
      <c r="D763" s="73"/>
      <c r="E763" s="73"/>
      <c r="F763" s="73"/>
      <c r="G763" s="73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123"/>
      <c r="B764" s="33"/>
      <c r="C764" s="120"/>
      <c r="D764" s="73"/>
      <c r="E764" s="73"/>
      <c r="F764" s="73"/>
      <c r="G764" s="73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123"/>
      <c r="B765" s="33"/>
      <c r="C765" s="120"/>
      <c r="D765" s="73"/>
      <c r="E765" s="73"/>
      <c r="F765" s="73"/>
      <c r="G765" s="73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123"/>
      <c r="B766" s="33"/>
      <c r="C766" s="120"/>
      <c r="D766" s="73"/>
      <c r="E766" s="73"/>
      <c r="F766" s="73"/>
      <c r="G766" s="73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123"/>
      <c r="B767" s="33"/>
      <c r="C767" s="120"/>
      <c r="D767" s="73"/>
      <c r="E767" s="73"/>
      <c r="F767" s="73"/>
      <c r="G767" s="73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123"/>
      <c r="B768" s="33"/>
      <c r="C768" s="120"/>
      <c r="D768" s="73"/>
      <c r="E768" s="73"/>
      <c r="F768" s="73"/>
      <c r="G768" s="73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123"/>
      <c r="B769" s="33"/>
      <c r="C769" s="120"/>
      <c r="D769" s="73"/>
      <c r="E769" s="73"/>
      <c r="F769" s="73"/>
      <c r="G769" s="73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123"/>
      <c r="B770" s="33"/>
      <c r="C770" s="120"/>
      <c r="D770" s="73"/>
      <c r="E770" s="73"/>
      <c r="F770" s="73"/>
      <c r="G770" s="73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123"/>
      <c r="B771" s="33"/>
      <c r="C771" s="120"/>
      <c r="D771" s="73"/>
      <c r="E771" s="73"/>
      <c r="F771" s="73"/>
      <c r="G771" s="73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123"/>
      <c r="B772" s="33"/>
      <c r="C772" s="120"/>
      <c r="D772" s="73"/>
      <c r="E772" s="73"/>
      <c r="F772" s="73"/>
      <c r="G772" s="73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123"/>
      <c r="B773" s="33"/>
      <c r="C773" s="120"/>
      <c r="D773" s="73"/>
      <c r="E773" s="73"/>
      <c r="F773" s="73"/>
      <c r="G773" s="73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123"/>
      <c r="B774" s="33"/>
      <c r="C774" s="120"/>
      <c r="D774" s="73"/>
      <c r="E774" s="73"/>
      <c r="F774" s="73"/>
      <c r="G774" s="73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123"/>
      <c r="B775" s="33"/>
      <c r="C775" s="120"/>
      <c r="D775" s="73"/>
      <c r="E775" s="73"/>
      <c r="F775" s="73"/>
      <c r="G775" s="73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123"/>
      <c r="B776" s="33"/>
      <c r="C776" s="120"/>
      <c r="D776" s="73"/>
      <c r="E776" s="73"/>
      <c r="F776" s="73"/>
      <c r="G776" s="73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123"/>
      <c r="B777" s="33"/>
      <c r="C777" s="120"/>
      <c r="D777" s="73"/>
      <c r="E777" s="73"/>
      <c r="F777" s="73"/>
      <c r="G777" s="73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123"/>
      <c r="B778" s="33"/>
      <c r="C778" s="120"/>
      <c r="D778" s="73"/>
      <c r="E778" s="73"/>
      <c r="F778" s="73"/>
      <c r="G778" s="73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123"/>
      <c r="B779" s="33"/>
      <c r="C779" s="120"/>
      <c r="D779" s="73"/>
      <c r="E779" s="73"/>
      <c r="F779" s="73"/>
      <c r="G779" s="73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123"/>
      <c r="B780" s="33"/>
      <c r="C780" s="120"/>
      <c r="D780" s="73"/>
      <c r="E780" s="73"/>
      <c r="F780" s="73"/>
      <c r="G780" s="73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123"/>
      <c r="B781" s="33"/>
      <c r="C781" s="120"/>
      <c r="D781" s="73"/>
      <c r="E781" s="73"/>
      <c r="F781" s="73"/>
      <c r="G781" s="73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123"/>
      <c r="B782" s="33"/>
      <c r="C782" s="120"/>
      <c r="D782" s="73"/>
      <c r="E782" s="73"/>
      <c r="F782" s="73"/>
      <c r="G782" s="73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123"/>
      <c r="B783" s="33"/>
      <c r="C783" s="120"/>
      <c r="D783" s="73"/>
      <c r="E783" s="73"/>
      <c r="F783" s="73"/>
      <c r="G783" s="73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123"/>
      <c r="B784" s="33"/>
      <c r="C784" s="120"/>
      <c r="D784" s="73"/>
      <c r="E784" s="73"/>
      <c r="F784" s="73"/>
      <c r="G784" s="73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123"/>
      <c r="B785" s="33"/>
      <c r="C785" s="120"/>
      <c r="D785" s="73"/>
      <c r="E785" s="73"/>
      <c r="F785" s="73"/>
      <c r="G785" s="73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123"/>
      <c r="B786" s="33"/>
      <c r="C786" s="120"/>
      <c r="D786" s="73"/>
      <c r="E786" s="73"/>
      <c r="F786" s="73"/>
      <c r="G786" s="73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123"/>
      <c r="B787" s="33"/>
      <c r="C787" s="120"/>
      <c r="D787" s="73"/>
      <c r="E787" s="73"/>
      <c r="F787" s="73"/>
      <c r="G787" s="73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123"/>
      <c r="B788" s="33"/>
      <c r="C788" s="120"/>
      <c r="D788" s="73"/>
      <c r="E788" s="73"/>
      <c r="F788" s="73"/>
      <c r="G788" s="73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123"/>
      <c r="B789" s="33"/>
      <c r="C789" s="120"/>
      <c r="D789" s="73"/>
      <c r="E789" s="73"/>
      <c r="F789" s="73"/>
      <c r="G789" s="73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123"/>
      <c r="B790" s="33"/>
      <c r="C790" s="120"/>
      <c r="D790" s="73"/>
      <c r="E790" s="73"/>
      <c r="F790" s="73"/>
      <c r="G790" s="73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123"/>
      <c r="B791" s="33"/>
      <c r="C791" s="120"/>
      <c r="D791" s="73"/>
      <c r="E791" s="73"/>
      <c r="F791" s="73"/>
      <c r="G791" s="73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123"/>
      <c r="B792" s="33"/>
      <c r="C792" s="120"/>
      <c r="D792" s="73"/>
      <c r="E792" s="73"/>
      <c r="F792" s="73"/>
      <c r="G792" s="73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123"/>
      <c r="B793" s="33"/>
      <c r="C793" s="120"/>
      <c r="D793" s="73"/>
      <c r="E793" s="73"/>
      <c r="F793" s="73"/>
      <c r="G793" s="73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123"/>
      <c r="B794" s="33"/>
      <c r="C794" s="120"/>
      <c r="D794" s="73"/>
      <c r="E794" s="73"/>
      <c r="F794" s="73"/>
      <c r="G794" s="73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123"/>
      <c r="B795" s="33"/>
      <c r="C795" s="120"/>
      <c r="D795" s="73"/>
      <c r="E795" s="73"/>
      <c r="F795" s="73"/>
      <c r="G795" s="73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123"/>
      <c r="B796" s="33"/>
      <c r="C796" s="120"/>
      <c r="D796" s="73"/>
      <c r="E796" s="73"/>
      <c r="F796" s="73"/>
      <c r="G796" s="73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123"/>
      <c r="B797" s="33"/>
      <c r="C797" s="120"/>
      <c r="D797" s="73"/>
      <c r="E797" s="73"/>
      <c r="F797" s="73"/>
      <c r="G797" s="73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123"/>
      <c r="B798" s="33"/>
      <c r="C798" s="120"/>
      <c r="D798" s="73"/>
      <c r="E798" s="73"/>
      <c r="F798" s="73"/>
      <c r="G798" s="73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123"/>
      <c r="B799" s="33"/>
      <c r="C799" s="120"/>
      <c r="D799" s="73"/>
      <c r="E799" s="73"/>
      <c r="F799" s="73"/>
      <c r="G799" s="73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123"/>
      <c r="B800" s="33"/>
      <c r="C800" s="120"/>
      <c r="D800" s="73"/>
      <c r="E800" s="73"/>
      <c r="F800" s="73"/>
      <c r="G800" s="73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123"/>
      <c r="B801" s="33"/>
      <c r="C801" s="120"/>
      <c r="D801" s="73"/>
      <c r="E801" s="73"/>
      <c r="F801" s="73"/>
      <c r="G801" s="73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123"/>
      <c r="B802" s="33"/>
      <c r="C802" s="120"/>
      <c r="D802" s="73"/>
      <c r="E802" s="73"/>
      <c r="F802" s="73"/>
      <c r="G802" s="73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123"/>
      <c r="B803" s="33"/>
      <c r="C803" s="120"/>
      <c r="D803" s="73"/>
      <c r="E803" s="73"/>
      <c r="F803" s="73"/>
      <c r="G803" s="73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123"/>
      <c r="B804" s="33"/>
      <c r="C804" s="120"/>
      <c r="D804" s="73"/>
      <c r="E804" s="73"/>
      <c r="F804" s="73"/>
      <c r="G804" s="73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123"/>
      <c r="B805" s="33"/>
      <c r="C805" s="120"/>
      <c r="D805" s="73"/>
      <c r="E805" s="73"/>
      <c r="F805" s="73"/>
      <c r="G805" s="73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123"/>
      <c r="B806" s="33"/>
      <c r="C806" s="120"/>
      <c r="D806" s="73"/>
      <c r="E806" s="73"/>
      <c r="F806" s="73"/>
      <c r="G806" s="73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123"/>
      <c r="B807" s="33"/>
      <c r="C807" s="120"/>
      <c r="D807" s="73"/>
      <c r="E807" s="73"/>
      <c r="F807" s="73"/>
      <c r="G807" s="73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123"/>
      <c r="B808" s="33"/>
      <c r="C808" s="120"/>
      <c r="D808" s="73"/>
      <c r="E808" s="73"/>
      <c r="F808" s="73"/>
      <c r="G808" s="73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123"/>
      <c r="B809" s="33"/>
      <c r="C809" s="120"/>
      <c r="D809" s="73"/>
      <c r="E809" s="73"/>
      <c r="F809" s="73"/>
      <c r="G809" s="73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123"/>
      <c r="B810" s="33"/>
      <c r="C810" s="120"/>
      <c r="D810" s="73"/>
      <c r="E810" s="73"/>
      <c r="F810" s="73"/>
      <c r="G810" s="73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123"/>
      <c r="B811" s="33"/>
      <c r="C811" s="120"/>
      <c r="D811" s="73"/>
      <c r="E811" s="73"/>
      <c r="F811" s="73"/>
      <c r="G811" s="73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123"/>
      <c r="B812" s="33"/>
      <c r="C812" s="120"/>
      <c r="D812" s="73"/>
      <c r="E812" s="73"/>
      <c r="F812" s="73"/>
      <c r="G812" s="73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123"/>
      <c r="B813" s="33"/>
      <c r="C813" s="120"/>
      <c r="D813" s="73"/>
      <c r="E813" s="73"/>
      <c r="F813" s="73"/>
      <c r="G813" s="73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123"/>
      <c r="B814" s="33"/>
      <c r="C814" s="120"/>
      <c r="D814" s="73"/>
      <c r="E814" s="73"/>
      <c r="F814" s="73"/>
      <c r="G814" s="73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123"/>
      <c r="B815" s="33"/>
      <c r="C815" s="120"/>
      <c r="D815" s="73"/>
      <c r="E815" s="73"/>
      <c r="F815" s="73"/>
      <c r="G815" s="73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123"/>
      <c r="B816" s="33"/>
      <c r="C816" s="120"/>
      <c r="D816" s="73"/>
      <c r="E816" s="73"/>
      <c r="F816" s="73"/>
      <c r="G816" s="73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123"/>
      <c r="B817" s="33"/>
      <c r="C817" s="120"/>
      <c r="D817" s="73"/>
      <c r="E817" s="73"/>
      <c r="F817" s="73"/>
      <c r="G817" s="73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123"/>
      <c r="B818" s="33"/>
      <c r="C818" s="120"/>
      <c r="D818" s="73"/>
      <c r="E818" s="73"/>
      <c r="F818" s="73"/>
      <c r="G818" s="73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123"/>
      <c r="B819" s="33"/>
      <c r="C819" s="120"/>
      <c r="D819" s="73"/>
      <c r="E819" s="73"/>
      <c r="F819" s="73"/>
      <c r="G819" s="73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123"/>
      <c r="B820" s="33"/>
      <c r="C820" s="120"/>
      <c r="D820" s="73"/>
      <c r="E820" s="73"/>
      <c r="F820" s="73"/>
      <c r="G820" s="73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123"/>
      <c r="B821" s="33"/>
      <c r="C821" s="120"/>
      <c r="D821" s="73"/>
      <c r="E821" s="73"/>
      <c r="F821" s="73"/>
      <c r="G821" s="73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123"/>
      <c r="B822" s="33"/>
      <c r="C822" s="120"/>
      <c r="D822" s="73"/>
      <c r="E822" s="73"/>
      <c r="F822" s="73"/>
      <c r="G822" s="73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123"/>
      <c r="B823" s="33"/>
      <c r="C823" s="120"/>
      <c r="D823" s="73"/>
      <c r="E823" s="73"/>
      <c r="F823" s="73"/>
      <c r="G823" s="73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123"/>
      <c r="B824" s="33"/>
      <c r="C824" s="120"/>
      <c r="D824" s="73"/>
      <c r="E824" s="73"/>
      <c r="F824" s="73"/>
      <c r="G824" s="73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123"/>
      <c r="B825" s="33"/>
      <c r="C825" s="120"/>
      <c r="D825" s="73"/>
      <c r="E825" s="73"/>
      <c r="F825" s="73"/>
      <c r="G825" s="73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123"/>
      <c r="B826" s="33"/>
      <c r="C826" s="120"/>
      <c r="D826" s="73"/>
      <c r="E826" s="73"/>
      <c r="F826" s="73"/>
      <c r="G826" s="73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123"/>
      <c r="B827" s="33"/>
      <c r="C827" s="120"/>
      <c r="D827" s="73"/>
      <c r="E827" s="73"/>
      <c r="F827" s="73"/>
      <c r="G827" s="73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123"/>
      <c r="B828" s="33"/>
      <c r="C828" s="120"/>
      <c r="D828" s="73"/>
      <c r="E828" s="73"/>
      <c r="F828" s="73"/>
      <c r="G828" s="73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123"/>
      <c r="B829" s="33"/>
      <c r="C829" s="120"/>
      <c r="D829" s="73"/>
      <c r="E829" s="73"/>
      <c r="F829" s="73"/>
      <c r="G829" s="73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123"/>
      <c r="B830" s="33"/>
      <c r="C830" s="120"/>
      <c r="D830" s="73"/>
      <c r="E830" s="73"/>
      <c r="F830" s="73"/>
      <c r="G830" s="73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123"/>
      <c r="B831" s="33"/>
      <c r="C831" s="120"/>
      <c r="D831" s="73"/>
      <c r="E831" s="73"/>
      <c r="F831" s="73"/>
      <c r="G831" s="73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123"/>
      <c r="B832" s="33"/>
      <c r="C832" s="120"/>
      <c r="D832" s="73"/>
      <c r="E832" s="73"/>
      <c r="F832" s="73"/>
      <c r="G832" s="73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123"/>
      <c r="B833" s="33"/>
      <c r="C833" s="120"/>
      <c r="D833" s="73"/>
      <c r="E833" s="73"/>
      <c r="F833" s="73"/>
      <c r="G833" s="73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123"/>
      <c r="B834" s="33"/>
      <c r="C834" s="120"/>
      <c r="D834" s="73"/>
      <c r="E834" s="73"/>
      <c r="F834" s="73"/>
      <c r="G834" s="73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123"/>
      <c r="B835" s="33"/>
      <c r="C835" s="120"/>
      <c r="D835" s="73"/>
      <c r="E835" s="73"/>
      <c r="F835" s="73"/>
      <c r="G835" s="73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123"/>
      <c r="B836" s="33"/>
      <c r="C836" s="120"/>
      <c r="D836" s="73"/>
      <c r="E836" s="73"/>
      <c r="F836" s="73"/>
      <c r="G836" s="73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123"/>
      <c r="B837" s="33"/>
      <c r="C837" s="120"/>
      <c r="D837" s="73"/>
      <c r="E837" s="73"/>
      <c r="F837" s="73"/>
      <c r="G837" s="73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123"/>
      <c r="B838" s="33"/>
      <c r="C838" s="120"/>
      <c r="D838" s="73"/>
      <c r="E838" s="73"/>
      <c r="F838" s="73"/>
      <c r="G838" s="73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123"/>
      <c r="B839" s="33"/>
      <c r="C839" s="120"/>
      <c r="D839" s="73"/>
      <c r="E839" s="73"/>
      <c r="F839" s="73"/>
      <c r="G839" s="73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123"/>
      <c r="B840" s="33"/>
      <c r="C840" s="120"/>
      <c r="D840" s="73"/>
      <c r="E840" s="73"/>
      <c r="F840" s="73"/>
      <c r="G840" s="73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123"/>
      <c r="B841" s="33"/>
      <c r="C841" s="120"/>
      <c r="D841" s="73"/>
      <c r="E841" s="73"/>
      <c r="F841" s="73"/>
      <c r="G841" s="73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123"/>
      <c r="B842" s="33"/>
      <c r="C842" s="120"/>
      <c r="D842" s="73"/>
      <c r="E842" s="73"/>
      <c r="F842" s="73"/>
      <c r="G842" s="73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123"/>
      <c r="B843" s="33"/>
      <c r="C843" s="120"/>
      <c r="D843" s="73"/>
      <c r="E843" s="73"/>
      <c r="F843" s="73"/>
      <c r="G843" s="73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123"/>
      <c r="B844" s="33"/>
      <c r="C844" s="120"/>
      <c r="D844" s="73"/>
      <c r="E844" s="73"/>
      <c r="F844" s="73"/>
      <c r="G844" s="73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123"/>
      <c r="B845" s="33"/>
      <c r="C845" s="120"/>
      <c r="D845" s="73"/>
      <c r="E845" s="73"/>
      <c r="F845" s="73"/>
      <c r="G845" s="73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123"/>
      <c r="B846" s="33"/>
      <c r="C846" s="120"/>
      <c r="D846" s="73"/>
      <c r="E846" s="73"/>
      <c r="F846" s="73"/>
      <c r="G846" s="73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123"/>
      <c r="B847" s="33"/>
      <c r="C847" s="120"/>
      <c r="D847" s="73"/>
      <c r="E847" s="73"/>
      <c r="F847" s="73"/>
      <c r="G847" s="73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123"/>
      <c r="B848" s="33"/>
      <c r="C848" s="120"/>
      <c r="D848" s="73"/>
      <c r="E848" s="73"/>
      <c r="F848" s="73"/>
      <c r="G848" s="73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123"/>
      <c r="B849" s="33"/>
      <c r="C849" s="120"/>
      <c r="D849" s="73"/>
      <c r="E849" s="73"/>
      <c r="F849" s="73"/>
      <c r="G849" s="73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123"/>
      <c r="B850" s="33"/>
      <c r="C850" s="120"/>
      <c r="D850" s="73"/>
      <c r="E850" s="73"/>
      <c r="F850" s="73"/>
      <c r="G850" s="73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123"/>
      <c r="B851" s="33"/>
      <c r="C851" s="120"/>
      <c r="D851" s="73"/>
      <c r="E851" s="73"/>
      <c r="F851" s="73"/>
      <c r="G851" s="73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123"/>
      <c r="B852" s="33"/>
      <c r="C852" s="120"/>
      <c r="D852" s="73"/>
      <c r="E852" s="73"/>
      <c r="F852" s="73"/>
      <c r="G852" s="73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123"/>
      <c r="B853" s="33"/>
      <c r="C853" s="120"/>
      <c r="D853" s="73"/>
      <c r="E853" s="73"/>
      <c r="F853" s="73"/>
      <c r="G853" s="73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123"/>
      <c r="B854" s="33"/>
      <c r="C854" s="120"/>
      <c r="D854" s="73"/>
      <c r="E854" s="73"/>
      <c r="F854" s="73"/>
      <c r="G854" s="73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123"/>
      <c r="B855" s="33"/>
      <c r="C855" s="120"/>
      <c r="D855" s="73"/>
      <c r="E855" s="73"/>
      <c r="F855" s="73"/>
      <c r="G855" s="73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123"/>
      <c r="B856" s="33"/>
      <c r="C856" s="120"/>
      <c r="D856" s="73"/>
      <c r="E856" s="73"/>
      <c r="F856" s="73"/>
      <c r="G856" s="73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123"/>
      <c r="B857" s="33"/>
      <c r="C857" s="120"/>
      <c r="D857" s="73"/>
      <c r="E857" s="73"/>
      <c r="F857" s="73"/>
      <c r="G857" s="73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123"/>
      <c r="B858" s="33"/>
      <c r="C858" s="120"/>
      <c r="D858" s="73"/>
      <c r="E858" s="73"/>
      <c r="F858" s="73"/>
      <c r="G858" s="73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123"/>
      <c r="B859" s="33"/>
      <c r="C859" s="120"/>
      <c r="D859" s="73"/>
      <c r="E859" s="73"/>
      <c r="F859" s="73"/>
      <c r="G859" s="73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123"/>
      <c r="B860" s="33"/>
      <c r="C860" s="120"/>
      <c r="D860" s="73"/>
      <c r="E860" s="73"/>
      <c r="F860" s="73"/>
      <c r="G860" s="73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123"/>
      <c r="B861" s="33"/>
      <c r="C861" s="120"/>
      <c r="D861" s="73"/>
      <c r="E861" s="73"/>
      <c r="F861" s="73"/>
      <c r="G861" s="73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123"/>
      <c r="B862" s="33"/>
      <c r="C862" s="120"/>
      <c r="D862" s="73"/>
      <c r="E862" s="73"/>
      <c r="F862" s="73"/>
      <c r="G862" s="73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123"/>
      <c r="B863" s="33"/>
      <c r="C863" s="120"/>
      <c r="D863" s="73"/>
      <c r="E863" s="73"/>
      <c r="F863" s="73"/>
      <c r="G863" s="73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123"/>
      <c r="B864" s="33"/>
      <c r="C864" s="120"/>
      <c r="D864" s="73"/>
      <c r="E864" s="73"/>
      <c r="F864" s="73"/>
      <c r="G864" s="73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123"/>
      <c r="B865" s="33"/>
      <c r="C865" s="120"/>
      <c r="D865" s="73"/>
      <c r="E865" s="73"/>
      <c r="F865" s="73"/>
      <c r="G865" s="73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123"/>
      <c r="B866" s="33"/>
      <c r="C866" s="120"/>
      <c r="D866" s="73"/>
      <c r="E866" s="73"/>
      <c r="F866" s="73"/>
      <c r="G866" s="73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123"/>
      <c r="B867" s="33"/>
      <c r="C867" s="120"/>
      <c r="D867" s="73"/>
      <c r="E867" s="73"/>
      <c r="F867" s="73"/>
      <c r="G867" s="73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123"/>
      <c r="B868" s="33"/>
      <c r="C868" s="120"/>
      <c r="D868" s="73"/>
      <c r="E868" s="73"/>
      <c r="F868" s="73"/>
      <c r="G868" s="73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123"/>
      <c r="B869" s="33"/>
      <c r="C869" s="120"/>
      <c r="D869" s="73"/>
      <c r="E869" s="73"/>
      <c r="F869" s="73"/>
      <c r="G869" s="73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123"/>
      <c r="B870" s="33"/>
      <c r="C870" s="120"/>
      <c r="D870" s="73"/>
      <c r="E870" s="73"/>
      <c r="F870" s="73"/>
      <c r="G870" s="73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123"/>
      <c r="B871" s="33"/>
      <c r="C871" s="120"/>
      <c r="D871" s="73"/>
      <c r="E871" s="73"/>
      <c r="F871" s="73"/>
      <c r="G871" s="73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123"/>
      <c r="B872" s="33"/>
      <c r="C872" s="120"/>
      <c r="D872" s="73"/>
      <c r="E872" s="73"/>
      <c r="F872" s="73"/>
      <c r="G872" s="73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123"/>
      <c r="B873" s="33"/>
      <c r="C873" s="120"/>
      <c r="D873" s="73"/>
      <c r="E873" s="73"/>
      <c r="F873" s="73"/>
      <c r="G873" s="73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123"/>
      <c r="B874" s="33"/>
      <c r="C874" s="120"/>
      <c r="D874" s="73"/>
      <c r="E874" s="73"/>
      <c r="F874" s="73"/>
      <c r="G874" s="73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123"/>
      <c r="B875" s="33"/>
      <c r="C875" s="120"/>
      <c r="D875" s="73"/>
      <c r="E875" s="73"/>
      <c r="F875" s="73"/>
      <c r="G875" s="73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123"/>
      <c r="B876" s="33"/>
      <c r="C876" s="120"/>
      <c r="D876" s="73"/>
      <c r="E876" s="73"/>
      <c r="F876" s="73"/>
      <c r="G876" s="73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123"/>
      <c r="B877" s="33"/>
      <c r="C877" s="120"/>
      <c r="D877" s="73"/>
      <c r="E877" s="73"/>
      <c r="F877" s="73"/>
      <c r="G877" s="73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123"/>
      <c r="B878" s="33"/>
      <c r="C878" s="120"/>
      <c r="D878" s="73"/>
      <c r="E878" s="73"/>
      <c r="F878" s="73"/>
      <c r="G878" s="73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123"/>
      <c r="B879" s="33"/>
      <c r="C879" s="120"/>
      <c r="D879" s="73"/>
      <c r="E879" s="73"/>
      <c r="F879" s="73"/>
      <c r="G879" s="73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123"/>
      <c r="B880" s="33"/>
      <c r="C880" s="120"/>
      <c r="D880" s="73"/>
      <c r="E880" s="73"/>
      <c r="F880" s="73"/>
      <c r="G880" s="73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123"/>
      <c r="B881" s="33"/>
      <c r="C881" s="120"/>
      <c r="D881" s="73"/>
      <c r="E881" s="73"/>
      <c r="F881" s="73"/>
      <c r="G881" s="73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123"/>
      <c r="B882" s="33"/>
      <c r="C882" s="120"/>
      <c r="D882" s="73"/>
      <c r="E882" s="73"/>
      <c r="F882" s="73"/>
      <c r="G882" s="73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123"/>
      <c r="B883" s="33"/>
      <c r="C883" s="120"/>
      <c r="D883" s="73"/>
      <c r="E883" s="73"/>
      <c r="F883" s="73"/>
      <c r="G883" s="73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123"/>
      <c r="B884" s="33"/>
      <c r="C884" s="120"/>
      <c r="D884" s="73"/>
      <c r="E884" s="73"/>
      <c r="F884" s="73"/>
      <c r="G884" s="73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123"/>
      <c r="B885" s="33"/>
      <c r="C885" s="120"/>
      <c r="D885" s="73"/>
      <c r="E885" s="73"/>
      <c r="F885" s="73"/>
      <c r="G885" s="73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123"/>
      <c r="B886" s="33"/>
      <c r="C886" s="120"/>
      <c r="D886" s="73"/>
      <c r="E886" s="73"/>
      <c r="F886" s="73"/>
      <c r="G886" s="73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123"/>
      <c r="B887" s="33"/>
      <c r="C887" s="120"/>
      <c r="D887" s="73"/>
      <c r="E887" s="73"/>
      <c r="F887" s="73"/>
      <c r="G887" s="73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123"/>
      <c r="B888" s="33"/>
      <c r="C888" s="120"/>
      <c r="D888" s="73"/>
      <c r="E888" s="73"/>
      <c r="F888" s="73"/>
      <c r="G888" s="73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123"/>
      <c r="B889" s="33"/>
      <c r="C889" s="120"/>
      <c r="D889" s="73"/>
      <c r="E889" s="73"/>
      <c r="F889" s="73"/>
      <c r="G889" s="73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123"/>
      <c r="B890" s="33"/>
      <c r="C890" s="120"/>
      <c r="D890" s="73"/>
      <c r="E890" s="73"/>
      <c r="F890" s="73"/>
      <c r="G890" s="73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123"/>
      <c r="B891" s="33"/>
      <c r="C891" s="120"/>
      <c r="D891" s="73"/>
      <c r="E891" s="73"/>
      <c r="F891" s="73"/>
      <c r="G891" s="73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123"/>
      <c r="B892" s="33"/>
      <c r="C892" s="120"/>
      <c r="D892" s="73"/>
      <c r="E892" s="73"/>
      <c r="F892" s="73"/>
      <c r="G892" s="73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123"/>
      <c r="B893" s="33"/>
      <c r="C893" s="120"/>
      <c r="D893" s="73"/>
      <c r="E893" s="73"/>
      <c r="F893" s="73"/>
      <c r="G893" s="73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123"/>
      <c r="B894" s="33"/>
      <c r="C894" s="120"/>
      <c r="D894" s="73"/>
      <c r="E894" s="73"/>
      <c r="F894" s="73"/>
      <c r="G894" s="73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123"/>
      <c r="B895" s="33"/>
      <c r="C895" s="120"/>
      <c r="D895" s="73"/>
      <c r="E895" s="73"/>
      <c r="F895" s="73"/>
      <c r="G895" s="73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123"/>
      <c r="B896" s="33"/>
      <c r="C896" s="120"/>
      <c r="D896" s="73"/>
      <c r="E896" s="73"/>
      <c r="F896" s="73"/>
      <c r="G896" s="73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123"/>
      <c r="B897" s="33"/>
      <c r="C897" s="120"/>
      <c r="D897" s="73"/>
      <c r="E897" s="73"/>
      <c r="F897" s="73"/>
      <c r="G897" s="73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123"/>
      <c r="B898" s="33"/>
      <c r="C898" s="120"/>
      <c r="D898" s="73"/>
      <c r="E898" s="73"/>
      <c r="F898" s="73"/>
      <c r="G898" s="73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123"/>
      <c r="B899" s="33"/>
      <c r="C899" s="120"/>
      <c r="D899" s="73"/>
      <c r="E899" s="73"/>
      <c r="F899" s="73"/>
      <c r="G899" s="73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123"/>
      <c r="B900" s="33"/>
      <c r="C900" s="120"/>
      <c r="D900" s="73"/>
      <c r="E900" s="73"/>
      <c r="F900" s="73"/>
      <c r="G900" s="73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123"/>
      <c r="B901" s="33"/>
      <c r="C901" s="120"/>
      <c r="D901" s="73"/>
      <c r="E901" s="73"/>
      <c r="F901" s="73"/>
      <c r="G901" s="73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123"/>
      <c r="B902" s="33"/>
      <c r="C902" s="120"/>
      <c r="D902" s="73"/>
      <c r="E902" s="73"/>
      <c r="F902" s="73"/>
      <c r="G902" s="73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123"/>
      <c r="B903" s="33"/>
      <c r="C903" s="120"/>
      <c r="D903" s="73"/>
      <c r="E903" s="73"/>
      <c r="F903" s="73"/>
      <c r="G903" s="73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123"/>
      <c r="B904" s="33"/>
      <c r="C904" s="120"/>
      <c r="D904" s="73"/>
      <c r="E904" s="73"/>
      <c r="F904" s="73"/>
      <c r="G904" s="73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123"/>
      <c r="B905" s="33"/>
      <c r="C905" s="120"/>
      <c r="D905" s="73"/>
      <c r="E905" s="73"/>
      <c r="F905" s="73"/>
      <c r="G905" s="73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123"/>
      <c r="B906" s="33"/>
      <c r="C906" s="120"/>
      <c r="D906" s="73"/>
      <c r="E906" s="73"/>
      <c r="F906" s="73"/>
      <c r="G906" s="73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123"/>
      <c r="B907" s="33"/>
      <c r="C907" s="120"/>
      <c r="D907" s="73"/>
      <c r="E907" s="73"/>
      <c r="F907" s="73"/>
      <c r="G907" s="73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123"/>
      <c r="B908" s="33"/>
      <c r="C908" s="120"/>
      <c r="D908" s="73"/>
      <c r="E908" s="73"/>
      <c r="F908" s="73"/>
      <c r="G908" s="73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123"/>
      <c r="B909" s="33"/>
      <c r="C909" s="120"/>
      <c r="D909" s="73"/>
      <c r="E909" s="73"/>
      <c r="F909" s="73"/>
      <c r="G909" s="73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123"/>
      <c r="B910" s="33"/>
      <c r="C910" s="120"/>
      <c r="D910" s="73"/>
      <c r="E910" s="73"/>
      <c r="F910" s="73"/>
      <c r="G910" s="73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123"/>
      <c r="B911" s="33"/>
      <c r="C911" s="120"/>
      <c r="D911" s="73"/>
      <c r="E911" s="73"/>
      <c r="F911" s="73"/>
      <c r="G911" s="73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123"/>
      <c r="B912" s="33"/>
      <c r="C912" s="120"/>
      <c r="D912" s="73"/>
      <c r="E912" s="73"/>
      <c r="F912" s="73"/>
      <c r="G912" s="73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123"/>
      <c r="B913" s="33"/>
      <c r="C913" s="120"/>
      <c r="D913" s="73"/>
      <c r="E913" s="73"/>
      <c r="F913" s="73"/>
      <c r="G913" s="73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123"/>
      <c r="B914" s="33"/>
      <c r="C914" s="120"/>
      <c r="D914" s="73"/>
      <c r="E914" s="73"/>
      <c r="F914" s="73"/>
      <c r="G914" s="73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123"/>
      <c r="B915" s="33"/>
      <c r="C915" s="120"/>
      <c r="D915" s="73"/>
      <c r="E915" s="73"/>
      <c r="F915" s="73"/>
      <c r="G915" s="73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123"/>
      <c r="B916" s="33"/>
      <c r="C916" s="120"/>
      <c r="D916" s="73"/>
      <c r="E916" s="73"/>
      <c r="F916" s="73"/>
      <c r="G916" s="73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123"/>
      <c r="B917" s="33"/>
      <c r="C917" s="120"/>
      <c r="D917" s="73"/>
      <c r="E917" s="73"/>
      <c r="F917" s="73"/>
      <c r="G917" s="73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123"/>
      <c r="B918" s="33"/>
      <c r="C918" s="120"/>
      <c r="D918" s="73"/>
      <c r="E918" s="73"/>
      <c r="F918" s="73"/>
      <c r="G918" s="73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123"/>
      <c r="B919" s="33"/>
      <c r="C919" s="120"/>
      <c r="D919" s="73"/>
      <c r="E919" s="73"/>
      <c r="F919" s="73"/>
      <c r="G919" s="73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123"/>
      <c r="B920" s="33"/>
      <c r="C920" s="120"/>
      <c r="D920" s="73"/>
      <c r="E920" s="73"/>
      <c r="F920" s="73"/>
      <c r="G920" s="73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123"/>
      <c r="B921" s="33"/>
      <c r="C921" s="120"/>
      <c r="D921" s="73"/>
      <c r="E921" s="73"/>
      <c r="F921" s="73"/>
      <c r="G921" s="73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123"/>
      <c r="B922" s="33"/>
      <c r="C922" s="120"/>
      <c r="D922" s="73"/>
      <c r="E922" s="73"/>
      <c r="F922" s="73"/>
      <c r="G922" s="73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123"/>
      <c r="B923" s="33"/>
      <c r="C923" s="120"/>
      <c r="D923" s="73"/>
      <c r="E923" s="73"/>
      <c r="F923" s="73"/>
      <c r="G923" s="73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123"/>
      <c r="B924" s="33"/>
      <c r="C924" s="120"/>
      <c r="D924" s="73"/>
      <c r="E924" s="73"/>
      <c r="F924" s="73"/>
      <c r="G924" s="73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123"/>
      <c r="B925" s="33"/>
      <c r="C925" s="120"/>
      <c r="D925" s="73"/>
      <c r="E925" s="73"/>
      <c r="F925" s="73"/>
      <c r="G925" s="73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123"/>
      <c r="B926" s="33"/>
      <c r="C926" s="120"/>
      <c r="D926" s="73"/>
      <c r="E926" s="73"/>
      <c r="F926" s="73"/>
      <c r="G926" s="73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123"/>
      <c r="B927" s="33"/>
      <c r="C927" s="120"/>
      <c r="D927" s="73"/>
      <c r="E927" s="73"/>
      <c r="F927" s="73"/>
      <c r="G927" s="73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123"/>
      <c r="B928" s="33"/>
      <c r="C928" s="120"/>
      <c r="D928" s="73"/>
      <c r="E928" s="73"/>
      <c r="F928" s="73"/>
      <c r="G928" s="73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123"/>
      <c r="B929" s="33"/>
      <c r="C929" s="120"/>
      <c r="D929" s="73"/>
      <c r="E929" s="73"/>
      <c r="F929" s="73"/>
      <c r="G929" s="73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123"/>
      <c r="B930" s="33"/>
      <c r="C930" s="120"/>
      <c r="D930" s="73"/>
      <c r="E930" s="73"/>
      <c r="F930" s="73"/>
      <c r="G930" s="73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123"/>
      <c r="B931" s="33"/>
      <c r="C931" s="120"/>
      <c r="D931" s="73"/>
      <c r="E931" s="73"/>
      <c r="F931" s="73"/>
      <c r="G931" s="73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123"/>
      <c r="B932" s="33"/>
      <c r="C932" s="120"/>
      <c r="D932" s="73"/>
      <c r="E932" s="73"/>
      <c r="F932" s="73"/>
      <c r="G932" s="73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123"/>
      <c r="B933" s="33"/>
      <c r="C933" s="120"/>
      <c r="D933" s="73"/>
      <c r="E933" s="73"/>
      <c r="F933" s="73"/>
      <c r="G933" s="73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123"/>
      <c r="B934" s="33"/>
      <c r="C934" s="120"/>
      <c r="D934" s="73"/>
      <c r="E934" s="73"/>
      <c r="F934" s="73"/>
      <c r="G934" s="73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123"/>
      <c r="B935" s="33"/>
      <c r="C935" s="120"/>
      <c r="D935" s="73"/>
      <c r="E935" s="73"/>
      <c r="F935" s="73"/>
      <c r="G935" s="73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123"/>
      <c r="B936" s="33"/>
      <c r="C936" s="120"/>
      <c r="D936" s="73"/>
      <c r="E936" s="73"/>
      <c r="F936" s="73"/>
      <c r="G936" s="73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123"/>
      <c r="B937" s="33"/>
      <c r="C937" s="120"/>
      <c r="D937" s="73"/>
      <c r="E937" s="73"/>
      <c r="F937" s="73"/>
      <c r="G937" s="73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123"/>
      <c r="B938" s="33"/>
      <c r="C938" s="120"/>
      <c r="D938" s="73"/>
      <c r="E938" s="73"/>
      <c r="F938" s="73"/>
      <c r="G938" s="73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123"/>
      <c r="B939" s="33"/>
      <c r="C939" s="120"/>
      <c r="D939" s="73"/>
      <c r="E939" s="73"/>
      <c r="F939" s="73"/>
      <c r="G939" s="73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123"/>
      <c r="B940" s="33"/>
      <c r="C940" s="120"/>
      <c r="D940" s="73"/>
      <c r="E940" s="73"/>
      <c r="F940" s="73"/>
      <c r="G940" s="73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123"/>
      <c r="B941" s="33"/>
      <c r="C941" s="120"/>
      <c r="D941" s="73"/>
      <c r="E941" s="73"/>
      <c r="F941" s="73"/>
      <c r="G941" s="73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123"/>
      <c r="B942" s="33"/>
      <c r="C942" s="120"/>
      <c r="D942" s="73"/>
      <c r="E942" s="73"/>
      <c r="F942" s="73"/>
      <c r="G942" s="73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123"/>
      <c r="B943" s="33"/>
      <c r="C943" s="120"/>
      <c r="D943" s="73"/>
      <c r="E943" s="73"/>
      <c r="F943" s="73"/>
      <c r="G943" s="73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123"/>
      <c r="B944" s="33"/>
      <c r="C944" s="120"/>
      <c r="D944" s="73"/>
      <c r="E944" s="73"/>
      <c r="F944" s="73"/>
      <c r="G944" s="73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123"/>
      <c r="B945" s="33"/>
      <c r="C945" s="120"/>
      <c r="D945" s="73"/>
      <c r="E945" s="73"/>
      <c r="F945" s="73"/>
      <c r="G945" s="73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123"/>
      <c r="B946" s="33"/>
      <c r="C946" s="120"/>
      <c r="D946" s="73"/>
      <c r="E946" s="73"/>
      <c r="F946" s="73"/>
      <c r="G946" s="73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123"/>
      <c r="B947" s="33"/>
      <c r="C947" s="120"/>
      <c r="D947" s="73"/>
      <c r="E947" s="73"/>
      <c r="F947" s="73"/>
      <c r="G947" s="73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123"/>
      <c r="B948" s="33"/>
      <c r="C948" s="120"/>
      <c r="D948" s="73"/>
      <c r="E948" s="73"/>
      <c r="F948" s="73"/>
      <c r="G948" s="73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123"/>
      <c r="B949" s="33"/>
      <c r="C949" s="120"/>
      <c r="D949" s="73"/>
      <c r="E949" s="73"/>
      <c r="F949" s="73"/>
      <c r="G949" s="73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123"/>
      <c r="B950" s="33"/>
      <c r="C950" s="120"/>
      <c r="D950" s="73"/>
      <c r="E950" s="73"/>
      <c r="F950" s="73"/>
      <c r="G950" s="73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123"/>
      <c r="B951" s="33"/>
      <c r="C951" s="120"/>
      <c r="D951" s="73"/>
      <c r="E951" s="73"/>
      <c r="F951" s="73"/>
      <c r="G951" s="73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123"/>
      <c r="B952" s="33"/>
      <c r="C952" s="120"/>
      <c r="D952" s="73"/>
      <c r="E952" s="73"/>
      <c r="F952" s="73"/>
      <c r="G952" s="73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123"/>
      <c r="B953" s="33"/>
      <c r="C953" s="120"/>
      <c r="D953" s="73"/>
      <c r="E953" s="73"/>
      <c r="F953" s="73"/>
      <c r="G953" s="73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123"/>
      <c r="B954" s="33"/>
      <c r="C954" s="120"/>
      <c r="D954" s="73"/>
      <c r="E954" s="73"/>
      <c r="F954" s="73"/>
      <c r="G954" s="73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123"/>
      <c r="B955" s="33"/>
      <c r="C955" s="120"/>
      <c r="D955" s="73"/>
      <c r="E955" s="73"/>
      <c r="F955" s="73"/>
      <c r="G955" s="73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123"/>
      <c r="B956" s="33"/>
      <c r="C956" s="120"/>
      <c r="D956" s="73"/>
      <c r="E956" s="73"/>
      <c r="F956" s="73"/>
      <c r="G956" s="73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123"/>
      <c r="B957" s="33"/>
      <c r="C957" s="120"/>
      <c r="D957" s="73"/>
      <c r="E957" s="73"/>
      <c r="F957" s="73"/>
      <c r="G957" s="73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123"/>
      <c r="B958" s="33"/>
      <c r="C958" s="120"/>
      <c r="D958" s="73"/>
      <c r="E958" s="73"/>
      <c r="F958" s="73"/>
      <c r="G958" s="73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123"/>
      <c r="B959" s="33"/>
      <c r="C959" s="120"/>
      <c r="D959" s="73"/>
      <c r="E959" s="73"/>
      <c r="F959" s="73"/>
      <c r="G959" s="73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123"/>
      <c r="B960" s="33"/>
      <c r="C960" s="120"/>
      <c r="D960" s="73"/>
      <c r="E960" s="73"/>
      <c r="F960" s="73"/>
      <c r="G960" s="73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123"/>
      <c r="B961" s="33"/>
      <c r="C961" s="120"/>
      <c r="D961" s="73"/>
      <c r="E961" s="73"/>
      <c r="F961" s="73"/>
      <c r="G961" s="73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123"/>
      <c r="B962" s="33"/>
      <c r="C962" s="120"/>
      <c r="D962" s="73"/>
      <c r="E962" s="73"/>
      <c r="F962" s="73"/>
      <c r="G962" s="73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123"/>
      <c r="B963" s="33"/>
      <c r="C963" s="120"/>
      <c r="D963" s="73"/>
      <c r="E963" s="73"/>
      <c r="F963" s="73"/>
      <c r="G963" s="73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123"/>
      <c r="B964" s="33"/>
      <c r="C964" s="120"/>
      <c r="D964" s="73"/>
      <c r="E964" s="73"/>
      <c r="F964" s="73"/>
      <c r="G964" s="73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123"/>
      <c r="B965" s="33"/>
      <c r="C965" s="120"/>
      <c r="D965" s="73"/>
      <c r="E965" s="73"/>
      <c r="F965" s="73"/>
      <c r="G965" s="73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123"/>
      <c r="B966" s="33"/>
      <c r="C966" s="120"/>
      <c r="D966" s="73"/>
      <c r="E966" s="73"/>
      <c r="F966" s="73"/>
      <c r="G966" s="73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123"/>
      <c r="B967" s="33"/>
      <c r="C967" s="120"/>
      <c r="D967" s="73"/>
      <c r="E967" s="73"/>
      <c r="F967" s="73"/>
      <c r="G967" s="73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123"/>
      <c r="B968" s="33"/>
      <c r="C968" s="120"/>
      <c r="D968" s="73"/>
      <c r="E968" s="73"/>
      <c r="F968" s="73"/>
      <c r="G968" s="73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123"/>
      <c r="B969" s="33"/>
      <c r="C969" s="120"/>
      <c r="D969" s="73"/>
      <c r="E969" s="73"/>
      <c r="F969" s="73"/>
      <c r="G969" s="73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123"/>
      <c r="B970" s="33"/>
      <c r="C970" s="120"/>
      <c r="D970" s="73"/>
      <c r="E970" s="73"/>
      <c r="F970" s="73"/>
      <c r="G970" s="73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123"/>
      <c r="B971" s="33"/>
      <c r="C971" s="120"/>
      <c r="D971" s="73"/>
      <c r="E971" s="73"/>
      <c r="F971" s="73"/>
      <c r="G971" s="73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123"/>
      <c r="B972" s="33"/>
      <c r="C972" s="120"/>
      <c r="D972" s="73"/>
      <c r="E972" s="73"/>
      <c r="F972" s="73"/>
      <c r="G972" s="73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123"/>
      <c r="B973" s="33"/>
      <c r="C973" s="120"/>
      <c r="D973" s="73"/>
      <c r="E973" s="73"/>
      <c r="F973" s="73"/>
      <c r="G973" s="73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123"/>
      <c r="B974" s="33"/>
      <c r="C974" s="120"/>
      <c r="D974" s="73"/>
      <c r="E974" s="73"/>
      <c r="F974" s="73"/>
      <c r="G974" s="73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123"/>
      <c r="B975" s="33"/>
      <c r="C975" s="120"/>
      <c r="D975" s="73"/>
      <c r="E975" s="73"/>
      <c r="F975" s="73"/>
      <c r="G975" s="73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123"/>
      <c r="B976" s="33"/>
      <c r="C976" s="120"/>
      <c r="D976" s="73"/>
      <c r="E976" s="73"/>
      <c r="F976" s="73"/>
      <c r="G976" s="73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123"/>
      <c r="B977" s="33"/>
      <c r="C977" s="120"/>
      <c r="D977" s="73"/>
      <c r="E977" s="73"/>
      <c r="F977" s="73"/>
      <c r="G977" s="73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123"/>
      <c r="B978" s="33"/>
      <c r="C978" s="120"/>
      <c r="D978" s="73"/>
      <c r="E978" s="73"/>
      <c r="F978" s="73"/>
      <c r="G978" s="73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123"/>
      <c r="B979" s="33"/>
      <c r="C979" s="120"/>
      <c r="D979" s="73"/>
      <c r="E979" s="73"/>
      <c r="F979" s="73"/>
      <c r="G979" s="73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123"/>
      <c r="B980" s="33"/>
      <c r="C980" s="120"/>
      <c r="D980" s="73"/>
      <c r="E980" s="73"/>
      <c r="F980" s="73"/>
      <c r="G980" s="73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123"/>
      <c r="B981" s="33"/>
      <c r="C981" s="120"/>
      <c r="D981" s="73"/>
      <c r="E981" s="73"/>
      <c r="F981" s="73"/>
      <c r="G981" s="73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123"/>
      <c r="B982" s="33"/>
      <c r="C982" s="120"/>
      <c r="D982" s="73"/>
      <c r="E982" s="73"/>
      <c r="F982" s="73"/>
      <c r="G982" s="73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123"/>
      <c r="B983" s="33"/>
      <c r="C983" s="120"/>
      <c r="D983" s="73"/>
      <c r="E983" s="73"/>
      <c r="F983" s="73"/>
      <c r="G983" s="73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123"/>
      <c r="B984" s="33"/>
      <c r="C984" s="120"/>
      <c r="D984" s="73"/>
      <c r="E984" s="73"/>
      <c r="F984" s="73"/>
      <c r="G984" s="73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123"/>
      <c r="B985" s="33"/>
      <c r="C985" s="120"/>
      <c r="D985" s="73"/>
      <c r="E985" s="73"/>
      <c r="F985" s="73"/>
      <c r="G985" s="73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123"/>
      <c r="B986" s="33"/>
      <c r="C986" s="120"/>
      <c r="D986" s="73"/>
      <c r="E986" s="73"/>
      <c r="F986" s="73"/>
      <c r="G986" s="73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123"/>
      <c r="B987" s="33"/>
      <c r="C987" s="120"/>
      <c r="D987" s="73"/>
      <c r="E987" s="73"/>
      <c r="F987" s="73"/>
      <c r="G987" s="73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123"/>
      <c r="B988" s="33"/>
      <c r="C988" s="120"/>
      <c r="D988" s="73"/>
      <c r="E988" s="73"/>
      <c r="F988" s="73"/>
      <c r="G988" s="73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123"/>
      <c r="B989" s="33"/>
      <c r="C989" s="120"/>
      <c r="D989" s="73"/>
      <c r="E989" s="73"/>
      <c r="F989" s="73"/>
      <c r="G989" s="73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123"/>
      <c r="B990" s="33"/>
      <c r="C990" s="120"/>
      <c r="D990" s="73"/>
      <c r="E990" s="73"/>
      <c r="F990" s="73"/>
      <c r="G990" s="73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123"/>
      <c r="B991" s="33"/>
      <c r="C991" s="120"/>
      <c r="D991" s="73"/>
      <c r="E991" s="73"/>
      <c r="F991" s="73"/>
      <c r="G991" s="73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123"/>
      <c r="B992" s="33"/>
      <c r="C992" s="120"/>
      <c r="D992" s="73"/>
      <c r="E992" s="73"/>
      <c r="F992" s="73"/>
      <c r="G992" s="73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123"/>
      <c r="B993" s="33"/>
      <c r="C993" s="120"/>
      <c r="D993" s="73"/>
      <c r="E993" s="73"/>
      <c r="F993" s="73"/>
      <c r="G993" s="73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123"/>
      <c r="B994" s="33"/>
      <c r="C994" s="120"/>
      <c r="D994" s="73"/>
      <c r="E994" s="73"/>
      <c r="F994" s="73"/>
      <c r="G994" s="73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123"/>
      <c r="B995" s="33"/>
      <c r="C995" s="120"/>
      <c r="D995" s="73"/>
      <c r="E995" s="73"/>
      <c r="F995" s="73"/>
      <c r="G995" s="73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123"/>
      <c r="B996" s="33"/>
      <c r="C996" s="120"/>
      <c r="D996" s="73"/>
      <c r="E996" s="73"/>
      <c r="F996" s="73"/>
      <c r="G996" s="73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123"/>
      <c r="B997" s="33"/>
      <c r="C997" s="120"/>
      <c r="D997" s="73"/>
      <c r="E997" s="73"/>
      <c r="F997" s="73"/>
      <c r="G997" s="73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123"/>
      <c r="B998" s="33"/>
      <c r="C998" s="120"/>
      <c r="D998" s="73"/>
      <c r="E998" s="73"/>
      <c r="F998" s="73"/>
      <c r="G998" s="73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123"/>
      <c r="B999" s="33"/>
      <c r="C999" s="120"/>
      <c r="D999" s="73"/>
      <c r="E999" s="73"/>
      <c r="F999" s="73"/>
      <c r="G999" s="73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123"/>
      <c r="B1000" s="33"/>
      <c r="C1000" s="120"/>
      <c r="D1000" s="73"/>
      <c r="E1000" s="73"/>
      <c r="F1000" s="73"/>
      <c r="G1000" s="73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D1:G5"/>
    <mergeCell ref="A7:G7"/>
  </mergeCells>
  <printOptions horizontalCentered="1"/>
  <pageMargins bottom="0.5905511811023623" footer="0.0" header="0.0" left="0.1968503937007874" right="0.1968503937007874" top="0.5905511811023623"/>
  <pageSetup paperSize="9" orientation="portrait"/>
  <headerFooter>
    <oddHeader>&amp;R&amp;F  Page &amp;P of   </oddHeader>
  </headerFooter>
  <rowBreaks count="9" manualBreakCount="9">
    <brk id="128" man="1"/>
    <brk id="368" man="1"/>
    <brk id="547" man="1"/>
    <brk id="68" man="1"/>
    <brk id="308" man="1"/>
    <brk id="248" man="1"/>
    <brk id="488" man="1"/>
    <brk id="188" man="1"/>
    <brk id="42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16.63"/>
    <col customWidth="1" min="2" max="2" width="68.75"/>
    <col customWidth="1" min="3" max="3" width="9.88"/>
    <col customWidth="1" min="4" max="4" width="5.75"/>
    <col customWidth="1" min="5" max="5" width="4.63"/>
    <col customWidth="1" min="6" max="6" width="6.0"/>
    <col customWidth="1" min="7" max="7" width="15.75"/>
    <col customWidth="1" min="8" max="8" width="9.13"/>
    <col customWidth="1" min="9" max="9" width="12.25"/>
    <col customWidth="1" min="10" max="26" width="9.13"/>
  </cols>
  <sheetData>
    <row r="1" ht="19.5" customHeight="1">
      <c r="A1" s="123"/>
      <c r="B1" s="33"/>
      <c r="C1" s="120"/>
      <c r="D1" s="166" t="s">
        <v>197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123"/>
      <c r="B2" s="33"/>
      <c r="C2" s="16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123"/>
      <c r="B3" s="33"/>
      <c r="C3" s="127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123"/>
      <c r="B4" s="33"/>
      <c r="C4" s="127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123"/>
      <c r="B5" s="33"/>
      <c r="C5" s="127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23"/>
      <c r="B6" s="33"/>
      <c r="C6" s="71"/>
      <c r="D6" s="127"/>
      <c r="E6" s="127"/>
      <c r="F6" s="127"/>
      <c r="G6" s="127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28" t="s">
        <v>1299</v>
      </c>
      <c r="B7" s="12"/>
      <c r="C7" s="12"/>
      <c r="D7" s="12"/>
      <c r="E7" s="12"/>
      <c r="F7" s="12"/>
      <c r="G7" s="13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68" t="s">
        <v>199</v>
      </c>
      <c r="B8" s="169" t="s">
        <v>377</v>
      </c>
      <c r="C8" s="170" t="s">
        <v>378</v>
      </c>
      <c r="D8" s="171" t="s">
        <v>379</v>
      </c>
      <c r="E8" s="172" t="s">
        <v>380</v>
      </c>
      <c r="F8" s="172" t="s">
        <v>381</v>
      </c>
      <c r="G8" s="173" t="s">
        <v>382</v>
      </c>
      <c r="H8" s="73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>
      <c r="A9" s="110"/>
      <c r="B9" s="88" t="s">
        <v>1300</v>
      </c>
      <c r="C9" s="175"/>
      <c r="D9" s="89"/>
      <c r="E9" s="89"/>
      <c r="F9" s="89"/>
      <c r="G9" s="92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93" t="s">
        <v>1301</v>
      </c>
      <c r="B10" s="61" t="s">
        <v>1302</v>
      </c>
      <c r="C10" s="95">
        <v>7.63</v>
      </c>
      <c r="D10" s="94">
        <v>10.0</v>
      </c>
      <c r="E10" s="96">
        <v>10.0</v>
      </c>
      <c r="F10" s="96">
        <v>100.0</v>
      </c>
      <c r="G10" s="97">
        <v>6.009635831489E12</v>
      </c>
      <c r="H10" s="176"/>
      <c r="I10" s="176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93" t="s">
        <v>1303</v>
      </c>
      <c r="B11" s="61" t="s">
        <v>1304</v>
      </c>
      <c r="C11" s="95">
        <v>11.53</v>
      </c>
      <c r="D11" s="94">
        <v>10.0</v>
      </c>
      <c r="E11" s="94">
        <v>10.0</v>
      </c>
      <c r="F11" s="94">
        <v>70.0</v>
      </c>
      <c r="G11" s="97">
        <v>6.009635831496E12</v>
      </c>
      <c r="H11" s="176"/>
      <c r="I11" s="176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93" t="s">
        <v>1305</v>
      </c>
      <c r="B12" s="59" t="s">
        <v>1306</v>
      </c>
      <c r="C12" s="95">
        <v>11.28</v>
      </c>
      <c r="D12" s="94" t="s">
        <v>213</v>
      </c>
      <c r="E12" s="94" t="s">
        <v>213</v>
      </c>
      <c r="F12" s="94">
        <v>70.0</v>
      </c>
      <c r="G12" s="97">
        <v>6.009635831496E12</v>
      </c>
      <c r="H12" s="176"/>
      <c r="I12" s="176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93" t="s">
        <v>1307</v>
      </c>
      <c r="B13" s="59" t="s">
        <v>1308</v>
      </c>
      <c r="C13" s="95">
        <v>15.14</v>
      </c>
      <c r="D13" s="94">
        <v>10.0</v>
      </c>
      <c r="E13" s="94">
        <v>10.0</v>
      </c>
      <c r="F13" s="94">
        <v>50.0</v>
      </c>
      <c r="G13" s="97">
        <v>6.009635831366E12</v>
      </c>
      <c r="H13" s="176"/>
      <c r="I13" s="176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93" t="s">
        <v>1309</v>
      </c>
      <c r="B14" s="59" t="s">
        <v>1310</v>
      </c>
      <c r="C14" s="95">
        <v>14.93</v>
      </c>
      <c r="D14" s="94" t="s">
        <v>213</v>
      </c>
      <c r="E14" s="94" t="s">
        <v>213</v>
      </c>
      <c r="F14" s="94">
        <v>50.0</v>
      </c>
      <c r="G14" s="97">
        <v>6.009635831366E12</v>
      </c>
      <c r="H14" s="176"/>
      <c r="I14" s="176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93" t="s">
        <v>1311</v>
      </c>
      <c r="B15" s="59" t="s">
        <v>1312</v>
      </c>
      <c r="C15" s="95">
        <v>25.360000000000003</v>
      </c>
      <c r="D15" s="94">
        <v>5.0</v>
      </c>
      <c r="E15" s="94">
        <v>5.0</v>
      </c>
      <c r="F15" s="94">
        <v>30.0</v>
      </c>
      <c r="G15" s="97">
        <v>6.009635833698E12</v>
      </c>
      <c r="H15" s="176"/>
      <c r="I15" s="176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93" t="s">
        <v>1313</v>
      </c>
      <c r="B16" s="59" t="s">
        <v>1314</v>
      </c>
      <c r="C16" s="95">
        <v>25.17</v>
      </c>
      <c r="D16" s="94" t="s">
        <v>213</v>
      </c>
      <c r="E16" s="94" t="s">
        <v>213</v>
      </c>
      <c r="F16" s="94">
        <v>30.0</v>
      </c>
      <c r="G16" s="97">
        <v>6.009635833698E12</v>
      </c>
      <c r="H16" s="176"/>
      <c r="I16" s="176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99"/>
      <c r="B17" s="61"/>
      <c r="C17" s="95"/>
      <c r="D17" s="94"/>
      <c r="E17" s="94"/>
      <c r="F17" s="94"/>
      <c r="G17" s="97"/>
      <c r="H17" s="176"/>
      <c r="I17" s="176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99"/>
      <c r="B18" s="101" t="s">
        <v>1315</v>
      </c>
      <c r="C18" s="95"/>
      <c r="D18" s="94"/>
      <c r="E18" s="94"/>
      <c r="F18" s="94"/>
      <c r="G18" s="97"/>
      <c r="H18" s="176"/>
      <c r="I18" s="176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93" t="s">
        <v>1316</v>
      </c>
      <c r="B19" s="61" t="s">
        <v>1317</v>
      </c>
      <c r="C19" s="95">
        <v>10.379999999999999</v>
      </c>
      <c r="D19" s="94">
        <v>10.0</v>
      </c>
      <c r="E19" s="96">
        <v>10.0</v>
      </c>
      <c r="F19" s="96">
        <v>80.0</v>
      </c>
      <c r="G19" s="97">
        <v>6.009697794838E12</v>
      </c>
      <c r="H19" s="176"/>
      <c r="I19" s="176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93" t="s">
        <v>1318</v>
      </c>
      <c r="B20" s="61" t="s">
        <v>1319</v>
      </c>
      <c r="C20" s="95">
        <v>15.78</v>
      </c>
      <c r="D20" s="94">
        <v>10.0</v>
      </c>
      <c r="E20" s="94">
        <v>10.0</v>
      </c>
      <c r="F20" s="94">
        <v>70.0</v>
      </c>
      <c r="G20" s="97">
        <v>6.009697794852E12</v>
      </c>
      <c r="H20" s="176"/>
      <c r="I20" s="176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93" t="s">
        <v>1320</v>
      </c>
      <c r="B21" s="61" t="s">
        <v>1321</v>
      </c>
      <c r="C21" s="95">
        <v>21.23</v>
      </c>
      <c r="D21" s="94">
        <v>10.0</v>
      </c>
      <c r="E21" s="94">
        <v>10.0</v>
      </c>
      <c r="F21" s="94">
        <v>50.0</v>
      </c>
      <c r="G21" s="97">
        <v>6.009697794876E12</v>
      </c>
      <c r="H21" s="176"/>
      <c r="I21" s="176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93" t="s">
        <v>1322</v>
      </c>
      <c r="B22" s="61" t="s">
        <v>1323</v>
      </c>
      <c r="C22" s="95">
        <v>34.73</v>
      </c>
      <c r="D22" s="94">
        <v>5.0</v>
      </c>
      <c r="E22" s="94">
        <v>5.0</v>
      </c>
      <c r="F22" s="94">
        <v>30.0</v>
      </c>
      <c r="G22" s="97">
        <v>6.00969779489E12</v>
      </c>
      <c r="H22" s="176"/>
      <c r="I22" s="176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99"/>
      <c r="B23" s="61"/>
      <c r="C23" s="95"/>
      <c r="D23" s="94"/>
      <c r="E23" s="94"/>
      <c r="F23" s="94"/>
      <c r="G23" s="97"/>
      <c r="H23" s="176"/>
      <c r="I23" s="176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99"/>
      <c r="B24" s="100" t="s">
        <v>1324</v>
      </c>
      <c r="C24" s="95"/>
      <c r="D24" s="94"/>
      <c r="E24" s="177"/>
      <c r="F24" s="177"/>
      <c r="G24" s="97"/>
      <c r="H24" s="176"/>
      <c r="I24" s="176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99" t="s">
        <v>1325</v>
      </c>
      <c r="B25" s="61" t="s">
        <v>1326</v>
      </c>
      <c r="C25" s="95">
        <v>2.9899999999999998</v>
      </c>
      <c r="D25" s="94">
        <v>10.0</v>
      </c>
      <c r="E25" s="94">
        <v>10.0</v>
      </c>
      <c r="F25" s="94">
        <v>200.0</v>
      </c>
      <c r="G25" s="97">
        <v>6.009685850409E12</v>
      </c>
      <c r="H25" s="176"/>
      <c r="I25" s="176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99" t="s">
        <v>1327</v>
      </c>
      <c r="B26" s="61" t="s">
        <v>1328</v>
      </c>
      <c r="C26" s="95">
        <v>2.7699999999999996</v>
      </c>
      <c r="D26" s="94">
        <v>10.0</v>
      </c>
      <c r="E26" s="94">
        <v>10.0</v>
      </c>
      <c r="F26" s="94">
        <v>200.0</v>
      </c>
      <c r="G26" s="97">
        <v>6.009685850409E12</v>
      </c>
      <c r="H26" s="176"/>
      <c r="I26" s="176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99" t="s">
        <v>1329</v>
      </c>
      <c r="B27" s="61" t="s">
        <v>1330</v>
      </c>
      <c r="C27" s="95">
        <v>2.7699999999999996</v>
      </c>
      <c r="D27" s="94">
        <v>10.0</v>
      </c>
      <c r="E27" s="94">
        <v>10.0</v>
      </c>
      <c r="F27" s="94">
        <v>200.0</v>
      </c>
      <c r="G27" s="97">
        <v>6.009685850409E12</v>
      </c>
      <c r="H27" s="176"/>
      <c r="I27" s="176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99" t="s">
        <v>1331</v>
      </c>
      <c r="B28" s="61" t="s">
        <v>1332</v>
      </c>
      <c r="C28" s="95">
        <v>2.7699999999999996</v>
      </c>
      <c r="D28" s="94">
        <v>10.0</v>
      </c>
      <c r="E28" s="94">
        <v>10.0</v>
      </c>
      <c r="F28" s="94">
        <v>200.0</v>
      </c>
      <c r="G28" s="97">
        <v>6.009685850409E12</v>
      </c>
      <c r="H28" s="176"/>
      <c r="I28" s="176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99" t="s">
        <v>1333</v>
      </c>
      <c r="B29" s="61" t="s">
        <v>1334</v>
      </c>
      <c r="C29" s="95">
        <v>2.7699999999999996</v>
      </c>
      <c r="D29" s="94">
        <v>10.0</v>
      </c>
      <c r="E29" s="94">
        <v>10.0</v>
      </c>
      <c r="F29" s="94">
        <v>200.0</v>
      </c>
      <c r="G29" s="97">
        <v>6.009685850409E12</v>
      </c>
      <c r="H29" s="176"/>
      <c r="I29" s="176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99" t="s">
        <v>1335</v>
      </c>
      <c r="B30" s="61" t="s">
        <v>1336</v>
      </c>
      <c r="C30" s="95">
        <v>2.7699999999999996</v>
      </c>
      <c r="D30" s="94">
        <v>10.0</v>
      </c>
      <c r="E30" s="94">
        <v>10.0</v>
      </c>
      <c r="F30" s="94">
        <v>200.0</v>
      </c>
      <c r="G30" s="97">
        <v>6.009685850409E12</v>
      </c>
      <c r="H30" s="176"/>
      <c r="I30" s="176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99" t="s">
        <v>1337</v>
      </c>
      <c r="B31" s="61" t="s">
        <v>1338</v>
      </c>
      <c r="C31" s="95">
        <v>2.7699999999999996</v>
      </c>
      <c r="D31" s="94">
        <v>10.0</v>
      </c>
      <c r="E31" s="94">
        <v>10.0</v>
      </c>
      <c r="F31" s="94">
        <v>200.0</v>
      </c>
      <c r="G31" s="97">
        <v>6.009685850409E12</v>
      </c>
      <c r="H31" s="176"/>
      <c r="I31" s="176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99" t="s">
        <v>1339</v>
      </c>
      <c r="B32" s="61" t="s">
        <v>1340</v>
      </c>
      <c r="C32" s="95">
        <v>2.7699999999999996</v>
      </c>
      <c r="D32" s="94">
        <v>10.0</v>
      </c>
      <c r="E32" s="94">
        <v>10.0</v>
      </c>
      <c r="F32" s="94">
        <v>200.0</v>
      </c>
      <c r="G32" s="97">
        <v>6.009685850409E12</v>
      </c>
      <c r="H32" s="176"/>
      <c r="I32" s="176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99" t="s">
        <v>1341</v>
      </c>
      <c r="B33" s="61" t="s">
        <v>1342</v>
      </c>
      <c r="C33" s="95">
        <v>3.29</v>
      </c>
      <c r="D33" s="94">
        <v>10.0</v>
      </c>
      <c r="E33" s="94">
        <v>10.0</v>
      </c>
      <c r="F33" s="94">
        <v>200.0</v>
      </c>
      <c r="G33" s="97">
        <v>6.009697797136E12</v>
      </c>
      <c r="H33" s="176"/>
      <c r="I33" s="176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99" t="s">
        <v>1343</v>
      </c>
      <c r="B34" s="61" t="s">
        <v>1344</v>
      </c>
      <c r="C34" s="95">
        <v>3.8299999999999996</v>
      </c>
      <c r="D34" s="96">
        <v>5.0</v>
      </c>
      <c r="E34" s="96">
        <v>5.0</v>
      </c>
      <c r="F34" s="96">
        <v>180.0</v>
      </c>
      <c r="G34" s="97">
        <v>6.009697791271E12</v>
      </c>
      <c r="H34" s="176"/>
      <c r="I34" s="176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99" t="s">
        <v>1345</v>
      </c>
      <c r="B35" s="61" t="s">
        <v>1346</v>
      </c>
      <c r="C35" s="95">
        <v>3.8899999999999997</v>
      </c>
      <c r="D35" s="96">
        <v>5.0</v>
      </c>
      <c r="E35" s="96">
        <v>5.0</v>
      </c>
      <c r="F35" s="96">
        <v>180.0</v>
      </c>
      <c r="G35" s="97">
        <v>6.009697791271E12</v>
      </c>
      <c r="H35" s="176"/>
      <c r="I35" s="176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99" t="s">
        <v>1347</v>
      </c>
      <c r="B36" s="61" t="s">
        <v>1348</v>
      </c>
      <c r="C36" s="95">
        <v>3.7699999999999996</v>
      </c>
      <c r="D36" s="96">
        <v>5.0</v>
      </c>
      <c r="E36" s="96">
        <v>5.0</v>
      </c>
      <c r="F36" s="96">
        <v>180.0</v>
      </c>
      <c r="G36" s="97">
        <v>6.009697791295E12</v>
      </c>
      <c r="H36" s="176"/>
      <c r="I36" s="176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99" t="s">
        <v>1349</v>
      </c>
      <c r="B37" s="61" t="s">
        <v>1350</v>
      </c>
      <c r="C37" s="95">
        <v>3.7699999999999996</v>
      </c>
      <c r="D37" s="96">
        <v>5.0</v>
      </c>
      <c r="E37" s="96">
        <v>5.0</v>
      </c>
      <c r="F37" s="96">
        <v>180.0</v>
      </c>
      <c r="G37" s="97">
        <v>6.0096858534E12</v>
      </c>
      <c r="H37" s="176"/>
      <c r="I37" s="176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99" t="s">
        <v>1351</v>
      </c>
      <c r="B38" s="61" t="s">
        <v>1352</v>
      </c>
      <c r="C38" s="95">
        <v>3.7699999999999996</v>
      </c>
      <c r="D38" s="96">
        <v>5.0</v>
      </c>
      <c r="E38" s="96">
        <v>5.0</v>
      </c>
      <c r="F38" s="96">
        <v>180.0</v>
      </c>
      <c r="G38" s="97">
        <v>6.009698061342E12</v>
      </c>
      <c r="H38" s="176"/>
      <c r="I38" s="176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99" t="s">
        <v>1353</v>
      </c>
      <c r="B39" s="61" t="s">
        <v>1354</v>
      </c>
      <c r="C39" s="95">
        <v>3.7699999999999996</v>
      </c>
      <c r="D39" s="96">
        <v>5.0</v>
      </c>
      <c r="E39" s="96">
        <v>5.0</v>
      </c>
      <c r="F39" s="96">
        <v>180.0</v>
      </c>
      <c r="G39" s="97">
        <v>6.009698062219E12</v>
      </c>
      <c r="H39" s="176"/>
      <c r="I39" s="176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99" t="s">
        <v>1355</v>
      </c>
      <c r="B40" s="61" t="s">
        <v>1356</v>
      </c>
      <c r="C40" s="95">
        <v>3.7699999999999996</v>
      </c>
      <c r="D40" s="96">
        <v>5.0</v>
      </c>
      <c r="E40" s="96">
        <v>5.0</v>
      </c>
      <c r="F40" s="96">
        <v>180.0</v>
      </c>
      <c r="G40" s="97">
        <v>6.00969806138E12</v>
      </c>
      <c r="H40" s="176"/>
      <c r="I40" s="176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99" t="s">
        <v>1357</v>
      </c>
      <c r="B41" s="61" t="s">
        <v>1358</v>
      </c>
      <c r="C41" s="95">
        <v>3.7699999999999996</v>
      </c>
      <c r="D41" s="96">
        <v>5.0</v>
      </c>
      <c r="E41" s="96">
        <v>5.0</v>
      </c>
      <c r="F41" s="96">
        <v>180.0</v>
      </c>
      <c r="G41" s="97">
        <v>6.009698061472E12</v>
      </c>
      <c r="H41" s="176"/>
      <c r="I41" s="176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99" t="s">
        <v>1359</v>
      </c>
      <c r="B42" s="61" t="s">
        <v>1360</v>
      </c>
      <c r="C42" s="95">
        <v>4.08</v>
      </c>
      <c r="D42" s="96">
        <v>5.0</v>
      </c>
      <c r="E42" s="96">
        <v>5.0</v>
      </c>
      <c r="F42" s="96">
        <v>180.0</v>
      </c>
      <c r="G42" s="97">
        <v>6.009697796986E12</v>
      </c>
      <c r="H42" s="176"/>
      <c r="I42" s="176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99" t="s">
        <v>1361</v>
      </c>
      <c r="B43" s="61" t="s">
        <v>1362</v>
      </c>
      <c r="C43" s="95">
        <v>10.4</v>
      </c>
      <c r="D43" s="94">
        <v>5.0</v>
      </c>
      <c r="E43" s="94">
        <v>5.0</v>
      </c>
      <c r="F43" s="94">
        <v>240.0</v>
      </c>
      <c r="G43" s="97">
        <v>6.009699510924E12</v>
      </c>
      <c r="H43" s="176"/>
      <c r="I43" s="176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99" t="s">
        <v>1363</v>
      </c>
      <c r="B44" s="61" t="s">
        <v>1364</v>
      </c>
      <c r="C44" s="95">
        <v>5.6</v>
      </c>
      <c r="D44" s="94">
        <v>5.0</v>
      </c>
      <c r="E44" s="94">
        <v>5.0</v>
      </c>
      <c r="F44" s="94">
        <v>360.0</v>
      </c>
      <c r="G44" s="97">
        <v>6.009699516056E12</v>
      </c>
      <c r="H44" s="176"/>
      <c r="I44" s="176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178"/>
      <c r="B45" s="61"/>
      <c r="C45" s="95"/>
      <c r="D45" s="94"/>
      <c r="E45" s="145"/>
      <c r="F45" s="145"/>
      <c r="G45" s="97"/>
      <c r="H45" s="176"/>
      <c r="I45" s="17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99"/>
      <c r="B46" s="101" t="s">
        <v>157</v>
      </c>
      <c r="C46" s="95"/>
      <c r="D46" s="94"/>
      <c r="E46" s="94"/>
      <c r="F46" s="179"/>
      <c r="G46" s="97"/>
      <c r="H46" s="176"/>
      <c r="I46" s="176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99" t="s">
        <v>1365</v>
      </c>
      <c r="B47" s="61" t="s">
        <v>1366</v>
      </c>
      <c r="C47" s="95">
        <v>5.05</v>
      </c>
      <c r="D47" s="94">
        <v>10.0</v>
      </c>
      <c r="E47" s="94">
        <v>10.0</v>
      </c>
      <c r="F47" s="94">
        <v>150.0</v>
      </c>
      <c r="G47" s="97">
        <v>6.009608640438E12</v>
      </c>
      <c r="H47" s="176"/>
      <c r="I47" s="176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99" t="s">
        <v>1367</v>
      </c>
      <c r="B48" s="61" t="s">
        <v>1368</v>
      </c>
      <c r="C48" s="95">
        <v>32.5</v>
      </c>
      <c r="D48" s="94">
        <v>1.0</v>
      </c>
      <c r="E48" s="94" t="s">
        <v>213</v>
      </c>
      <c r="F48" s="96">
        <v>15.0</v>
      </c>
      <c r="G48" s="97">
        <v>6.009635841532E12</v>
      </c>
      <c r="H48" s="176"/>
      <c r="I48" s="176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99" t="s">
        <v>1369</v>
      </c>
      <c r="B49" s="61" t="s">
        <v>1370</v>
      </c>
      <c r="C49" s="95">
        <v>113.67</v>
      </c>
      <c r="D49" s="94">
        <v>1.0</v>
      </c>
      <c r="E49" s="94" t="s">
        <v>213</v>
      </c>
      <c r="F49" s="96">
        <v>10.0</v>
      </c>
      <c r="G49" s="97">
        <v>6.009699519729E12</v>
      </c>
      <c r="H49" s="176"/>
      <c r="I49" s="176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99"/>
      <c r="B50" s="61"/>
      <c r="C50" s="95"/>
      <c r="D50" s="94"/>
      <c r="E50" s="94"/>
      <c r="F50" s="96"/>
      <c r="G50" s="97"/>
      <c r="H50" s="176"/>
      <c r="I50" s="176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99"/>
      <c r="B51" s="101" t="s">
        <v>1371</v>
      </c>
      <c r="C51" s="95"/>
      <c r="D51" s="94"/>
      <c r="E51" s="94"/>
      <c r="F51" s="94"/>
      <c r="G51" s="97"/>
      <c r="H51" s="176"/>
      <c r="I51" s="176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99" t="s">
        <v>1372</v>
      </c>
      <c r="B52" s="59" t="s">
        <v>1373</v>
      </c>
      <c r="C52" s="95">
        <v>14.24</v>
      </c>
      <c r="D52" s="94">
        <v>10.0</v>
      </c>
      <c r="E52" s="94">
        <v>10.0</v>
      </c>
      <c r="F52" s="94">
        <v>50.0</v>
      </c>
      <c r="G52" s="97">
        <v>6.002324000432E12</v>
      </c>
      <c r="H52" s="176"/>
      <c r="I52" s="176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99" t="s">
        <v>1374</v>
      </c>
      <c r="B53" s="59" t="s">
        <v>1375</v>
      </c>
      <c r="C53" s="95">
        <v>14.16</v>
      </c>
      <c r="D53" s="94">
        <v>10.0</v>
      </c>
      <c r="E53" s="94">
        <v>10.0</v>
      </c>
      <c r="F53" s="94">
        <v>50.0</v>
      </c>
      <c r="G53" s="97">
        <v>6.002324004102E12</v>
      </c>
      <c r="H53" s="176"/>
      <c r="I53" s="176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99" t="s">
        <v>1376</v>
      </c>
      <c r="B54" s="59" t="s">
        <v>1377</v>
      </c>
      <c r="C54" s="95">
        <v>14.16</v>
      </c>
      <c r="D54" s="94">
        <v>10.0</v>
      </c>
      <c r="E54" s="94">
        <v>10.0</v>
      </c>
      <c r="F54" s="94">
        <v>50.0</v>
      </c>
      <c r="G54" s="97">
        <v>6.002324000401E12</v>
      </c>
      <c r="H54" s="176"/>
      <c r="I54" s="176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99" t="s">
        <v>1378</v>
      </c>
      <c r="B55" s="59" t="s">
        <v>1379</v>
      </c>
      <c r="C55" s="95">
        <v>14.16</v>
      </c>
      <c r="D55" s="94">
        <v>10.0</v>
      </c>
      <c r="E55" s="94">
        <v>10.0</v>
      </c>
      <c r="F55" s="94">
        <v>50.0</v>
      </c>
      <c r="G55" s="97">
        <v>6.002324000395E12</v>
      </c>
      <c r="H55" s="176"/>
      <c r="I55" s="176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99" t="s">
        <v>1380</v>
      </c>
      <c r="B56" s="59" t="s">
        <v>1381</v>
      </c>
      <c r="C56" s="95">
        <v>14.16</v>
      </c>
      <c r="D56" s="94">
        <v>10.0</v>
      </c>
      <c r="E56" s="94">
        <v>10.0</v>
      </c>
      <c r="F56" s="94">
        <v>50.0</v>
      </c>
      <c r="G56" s="97">
        <v>6.002324000388E12</v>
      </c>
      <c r="H56" s="176"/>
      <c r="I56" s="176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99" t="s">
        <v>1382</v>
      </c>
      <c r="B57" s="61" t="s">
        <v>1383</v>
      </c>
      <c r="C57" s="95">
        <v>16.32</v>
      </c>
      <c r="D57" s="94">
        <v>10.0</v>
      </c>
      <c r="E57" s="94">
        <v>10.0</v>
      </c>
      <c r="F57" s="94">
        <v>50.0</v>
      </c>
      <c r="G57" s="97">
        <v>6.002324000838E12</v>
      </c>
      <c r="H57" s="176"/>
      <c r="I57" s="176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99" t="s">
        <v>1384</v>
      </c>
      <c r="B58" s="61" t="s">
        <v>1385</v>
      </c>
      <c r="C58" s="95">
        <v>22.89</v>
      </c>
      <c r="D58" s="94">
        <v>10.0</v>
      </c>
      <c r="E58" s="94">
        <v>10.0</v>
      </c>
      <c r="F58" s="94">
        <v>40.0</v>
      </c>
      <c r="G58" s="97">
        <v>6.002324002139E12</v>
      </c>
      <c r="H58" s="176"/>
      <c r="I58" s="176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99" t="s">
        <v>1386</v>
      </c>
      <c r="B59" s="61" t="s">
        <v>1387</v>
      </c>
      <c r="C59" s="95">
        <v>22.89</v>
      </c>
      <c r="D59" s="94">
        <v>10.0</v>
      </c>
      <c r="E59" s="94">
        <v>10.0</v>
      </c>
      <c r="F59" s="94">
        <v>40.0</v>
      </c>
      <c r="G59" s="97">
        <v>6.002324002207E12</v>
      </c>
      <c r="H59" s="176"/>
      <c r="I59" s="176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99" t="s">
        <v>1388</v>
      </c>
      <c r="B60" s="61" t="s">
        <v>1389</v>
      </c>
      <c r="C60" s="95">
        <v>22.89</v>
      </c>
      <c r="D60" s="94">
        <v>10.0</v>
      </c>
      <c r="E60" s="94">
        <v>10.0</v>
      </c>
      <c r="F60" s="94">
        <v>40.0</v>
      </c>
      <c r="G60" s="97">
        <v>6.002324002115E12</v>
      </c>
      <c r="H60" s="176"/>
      <c r="I60" s="176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99" t="s">
        <v>1390</v>
      </c>
      <c r="B61" s="59" t="s">
        <v>1391</v>
      </c>
      <c r="C61" s="95">
        <v>26.360000000000003</v>
      </c>
      <c r="D61" s="94">
        <v>10.0</v>
      </c>
      <c r="E61" s="94" t="s">
        <v>213</v>
      </c>
      <c r="F61" s="94">
        <v>10.0</v>
      </c>
      <c r="G61" s="97">
        <v>6.002324001057E12</v>
      </c>
      <c r="H61" s="176"/>
      <c r="I61" s="176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99" t="s">
        <v>1392</v>
      </c>
      <c r="B62" s="59" t="s">
        <v>1393</v>
      </c>
      <c r="C62" s="95">
        <v>24.25</v>
      </c>
      <c r="D62" s="94">
        <v>10.0</v>
      </c>
      <c r="E62" s="94" t="s">
        <v>213</v>
      </c>
      <c r="F62" s="94">
        <v>10.0</v>
      </c>
      <c r="G62" s="97">
        <v>6.009635834282E12</v>
      </c>
      <c r="H62" s="176"/>
      <c r="I62" s="176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99" t="s">
        <v>1394</v>
      </c>
      <c r="B63" s="59" t="s">
        <v>1395</v>
      </c>
      <c r="C63" s="95">
        <v>15.43</v>
      </c>
      <c r="D63" s="94">
        <v>10.0</v>
      </c>
      <c r="E63" s="94" t="s">
        <v>213</v>
      </c>
      <c r="F63" s="94">
        <v>10.0</v>
      </c>
      <c r="G63" s="97">
        <v>6.002324001408E12</v>
      </c>
      <c r="H63" s="176"/>
      <c r="I63" s="176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99" t="s">
        <v>1396</v>
      </c>
      <c r="B64" s="59" t="s">
        <v>1397</v>
      </c>
      <c r="C64" s="95">
        <v>15.6</v>
      </c>
      <c r="D64" s="94">
        <v>10.0</v>
      </c>
      <c r="E64" s="94" t="s">
        <v>213</v>
      </c>
      <c r="F64" s="94">
        <v>10.0</v>
      </c>
      <c r="G64" s="97">
        <v>6.002324002375E12</v>
      </c>
      <c r="H64" s="176"/>
      <c r="I64" s="176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99" t="s">
        <v>1398</v>
      </c>
      <c r="B65" s="59" t="s">
        <v>1399</v>
      </c>
      <c r="C65" s="95">
        <v>15.98</v>
      </c>
      <c r="D65" s="94">
        <v>10.0</v>
      </c>
      <c r="E65" s="94" t="s">
        <v>213</v>
      </c>
      <c r="F65" s="94">
        <v>10.0</v>
      </c>
      <c r="G65" s="97">
        <v>6.002324001149E12</v>
      </c>
      <c r="H65" s="176"/>
      <c r="I65" s="176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99" t="s">
        <v>1400</v>
      </c>
      <c r="B66" s="59" t="s">
        <v>1401</v>
      </c>
      <c r="C66" s="95">
        <v>20.09</v>
      </c>
      <c r="D66" s="94">
        <v>10.0</v>
      </c>
      <c r="E66" s="94" t="s">
        <v>213</v>
      </c>
      <c r="F66" s="94">
        <v>10.0</v>
      </c>
      <c r="G66" s="97">
        <v>6.00232400005E12</v>
      </c>
      <c r="H66" s="176"/>
      <c r="I66" s="176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45"/>
      <c r="B67" s="180" t="s">
        <v>1402</v>
      </c>
      <c r="C67" s="95"/>
      <c r="D67" s="181"/>
      <c r="E67" s="181"/>
      <c r="F67" s="181"/>
      <c r="G67" s="182"/>
      <c r="H67" s="176"/>
      <c r="I67" s="176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49"/>
      <c r="B68" s="183"/>
      <c r="C68" s="107"/>
      <c r="D68" s="85"/>
      <c r="E68" s="85"/>
      <c r="F68" s="85"/>
      <c r="G68" s="86"/>
      <c r="H68" s="176"/>
      <c r="I68" s="176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136"/>
      <c r="B69" s="137" t="s">
        <v>1403</v>
      </c>
      <c r="C69" s="142"/>
      <c r="D69" s="139"/>
      <c r="E69" s="139"/>
      <c r="F69" s="139"/>
      <c r="G69" s="140"/>
      <c r="H69" s="176"/>
      <c r="I69" s="17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99" t="s">
        <v>1404</v>
      </c>
      <c r="B70" s="61" t="s">
        <v>1405</v>
      </c>
      <c r="C70" s="95">
        <v>9.15</v>
      </c>
      <c r="D70" s="94">
        <v>10.0</v>
      </c>
      <c r="E70" s="94">
        <v>10.0</v>
      </c>
      <c r="F70" s="94">
        <v>150.0</v>
      </c>
      <c r="G70" s="97">
        <v>6.00968585832E12</v>
      </c>
      <c r="H70" s="176"/>
      <c r="I70" s="176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99" t="s">
        <v>1406</v>
      </c>
      <c r="B71" s="61" t="s">
        <v>1407</v>
      </c>
      <c r="C71" s="95">
        <v>12.549999999999999</v>
      </c>
      <c r="D71" s="94">
        <v>10.0</v>
      </c>
      <c r="E71" s="94">
        <v>10.0</v>
      </c>
      <c r="F71" s="94">
        <v>80.0</v>
      </c>
      <c r="G71" s="97">
        <v>6.009685858283E12</v>
      </c>
      <c r="H71" s="176"/>
      <c r="I71" s="176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99" t="s">
        <v>1408</v>
      </c>
      <c r="B72" s="61" t="s">
        <v>1409</v>
      </c>
      <c r="C72" s="95">
        <v>16.180000000000003</v>
      </c>
      <c r="D72" s="94">
        <v>10.0</v>
      </c>
      <c r="E72" s="94">
        <v>10.0</v>
      </c>
      <c r="F72" s="94">
        <v>80.0</v>
      </c>
      <c r="G72" s="97">
        <v>6.00968585829E12</v>
      </c>
      <c r="H72" s="176"/>
      <c r="I72" s="176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99" t="s">
        <v>1410</v>
      </c>
      <c r="B73" s="61" t="s">
        <v>1411</v>
      </c>
      <c r="C73" s="95">
        <v>19.46</v>
      </c>
      <c r="D73" s="94">
        <v>10.0</v>
      </c>
      <c r="E73" s="94">
        <v>10.0</v>
      </c>
      <c r="F73" s="94">
        <v>60.0</v>
      </c>
      <c r="G73" s="97">
        <v>6.009685858306E12</v>
      </c>
      <c r="H73" s="176"/>
      <c r="I73" s="176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99" t="s">
        <v>1412</v>
      </c>
      <c r="B74" s="61" t="s">
        <v>1413</v>
      </c>
      <c r="C74" s="95">
        <v>32.76</v>
      </c>
      <c r="D74" s="94">
        <v>10.0</v>
      </c>
      <c r="E74" s="94">
        <v>10.0</v>
      </c>
      <c r="F74" s="94">
        <v>30.0</v>
      </c>
      <c r="G74" s="97">
        <v>6.009685858313E12</v>
      </c>
      <c r="H74" s="176"/>
      <c r="I74" s="176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99"/>
      <c r="B75" s="61"/>
      <c r="C75" s="95"/>
      <c r="D75" s="94"/>
      <c r="E75" s="94"/>
      <c r="F75" s="94"/>
      <c r="G75" s="97"/>
      <c r="H75" s="176"/>
      <c r="I75" s="176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99"/>
      <c r="B76" s="101" t="s">
        <v>1414</v>
      </c>
      <c r="C76" s="95"/>
      <c r="D76" s="94"/>
      <c r="E76" s="94"/>
      <c r="F76" s="96"/>
      <c r="G76" s="97"/>
      <c r="H76" s="176"/>
      <c r="I76" s="176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99" t="s">
        <v>1415</v>
      </c>
      <c r="B77" s="61" t="s">
        <v>1416</v>
      </c>
      <c r="C77" s="95">
        <v>5.25</v>
      </c>
      <c r="D77" s="94">
        <v>10.0</v>
      </c>
      <c r="E77" s="94">
        <v>10.0</v>
      </c>
      <c r="F77" s="94">
        <v>150.0</v>
      </c>
      <c r="G77" s="97">
        <v>6.00968585324E12</v>
      </c>
      <c r="H77" s="176"/>
      <c r="I77" s="176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99" t="s">
        <v>1417</v>
      </c>
      <c r="B78" s="61" t="s">
        <v>1418</v>
      </c>
      <c r="C78" s="95">
        <v>7.529999999999999</v>
      </c>
      <c r="D78" s="94">
        <v>10.0</v>
      </c>
      <c r="E78" s="94">
        <v>10.0</v>
      </c>
      <c r="F78" s="94">
        <v>80.0</v>
      </c>
      <c r="G78" s="97">
        <v>6.009685853257E12</v>
      </c>
      <c r="H78" s="176"/>
      <c r="I78" s="176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99" t="s">
        <v>1419</v>
      </c>
      <c r="B79" s="61" t="s">
        <v>1420</v>
      </c>
      <c r="C79" s="95">
        <v>10.06</v>
      </c>
      <c r="D79" s="94">
        <v>10.0</v>
      </c>
      <c r="E79" s="94">
        <v>10.0</v>
      </c>
      <c r="F79" s="94">
        <v>80.0</v>
      </c>
      <c r="G79" s="97">
        <v>6.009685853264E12</v>
      </c>
      <c r="H79" s="176"/>
      <c r="I79" s="176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99" t="s">
        <v>1421</v>
      </c>
      <c r="B80" s="61" t="s">
        <v>1422</v>
      </c>
      <c r="C80" s="95">
        <v>12.27</v>
      </c>
      <c r="D80" s="94">
        <v>10.0</v>
      </c>
      <c r="E80" s="94">
        <v>10.0</v>
      </c>
      <c r="F80" s="94">
        <v>60.0</v>
      </c>
      <c r="G80" s="97">
        <v>6.009685853271E12</v>
      </c>
      <c r="H80" s="176"/>
      <c r="I80" s="176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99" t="s">
        <v>1423</v>
      </c>
      <c r="B81" s="61" t="s">
        <v>1424</v>
      </c>
      <c r="C81" s="95">
        <v>23.150000000000002</v>
      </c>
      <c r="D81" s="94">
        <v>10.0</v>
      </c>
      <c r="E81" s="94">
        <v>10.0</v>
      </c>
      <c r="F81" s="94">
        <v>30.0</v>
      </c>
      <c r="G81" s="97">
        <v>6.009685853288E12</v>
      </c>
      <c r="H81" s="176"/>
      <c r="I81" s="176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99"/>
      <c r="B82" s="61"/>
      <c r="C82" s="95"/>
      <c r="D82" s="94"/>
      <c r="E82" s="94"/>
      <c r="F82" s="94"/>
      <c r="G82" s="97"/>
      <c r="H82" s="176"/>
      <c r="I82" s="176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99"/>
      <c r="B83" s="101" t="s">
        <v>1425</v>
      </c>
      <c r="C83" s="95"/>
      <c r="D83" s="94"/>
      <c r="E83" s="94"/>
      <c r="F83" s="96"/>
      <c r="G83" s="97"/>
      <c r="H83" s="176"/>
      <c r="I83" s="176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99" t="s">
        <v>1426</v>
      </c>
      <c r="B84" s="61" t="s">
        <v>1427</v>
      </c>
      <c r="C84" s="95">
        <v>5.64</v>
      </c>
      <c r="D84" s="94">
        <v>10.0</v>
      </c>
      <c r="E84" s="94">
        <v>10.0</v>
      </c>
      <c r="F84" s="94">
        <v>150.0</v>
      </c>
      <c r="G84" s="97">
        <v>6.009608642326E12</v>
      </c>
      <c r="H84" s="176"/>
      <c r="I84" s="176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99" t="s">
        <v>1428</v>
      </c>
      <c r="B85" s="61" t="s">
        <v>1429</v>
      </c>
      <c r="C85" s="95">
        <v>8.48</v>
      </c>
      <c r="D85" s="94">
        <v>10.0</v>
      </c>
      <c r="E85" s="94">
        <v>10.0</v>
      </c>
      <c r="F85" s="94">
        <v>80.0</v>
      </c>
      <c r="G85" s="97">
        <v>6.009608642333E12</v>
      </c>
      <c r="H85" s="176"/>
      <c r="I85" s="176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99" t="s">
        <v>1430</v>
      </c>
      <c r="B86" s="61" t="s">
        <v>1431</v>
      </c>
      <c r="C86" s="95">
        <v>11.36</v>
      </c>
      <c r="D86" s="94">
        <v>10.0</v>
      </c>
      <c r="E86" s="94">
        <v>10.0</v>
      </c>
      <c r="F86" s="94">
        <v>80.0</v>
      </c>
      <c r="G86" s="97">
        <v>6.009685853219E12</v>
      </c>
      <c r="H86" s="176"/>
      <c r="I86" s="176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99" t="s">
        <v>1432</v>
      </c>
      <c r="B87" s="61" t="s">
        <v>1433</v>
      </c>
      <c r="C87" s="95">
        <v>14.26</v>
      </c>
      <c r="D87" s="94">
        <v>10.0</v>
      </c>
      <c r="E87" s="94">
        <v>10.0</v>
      </c>
      <c r="F87" s="94">
        <v>60.0</v>
      </c>
      <c r="G87" s="97">
        <v>6.009685853226E12</v>
      </c>
      <c r="H87" s="176"/>
      <c r="I87" s="176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99" t="s">
        <v>1434</v>
      </c>
      <c r="B88" s="61" t="s">
        <v>1435</v>
      </c>
      <c r="C88" s="95">
        <v>24.470000000000002</v>
      </c>
      <c r="D88" s="94">
        <v>10.0</v>
      </c>
      <c r="E88" s="94">
        <v>10.0</v>
      </c>
      <c r="F88" s="94">
        <v>30.0</v>
      </c>
      <c r="G88" s="97">
        <v>6.009685853233E12</v>
      </c>
      <c r="H88" s="176"/>
      <c r="I88" s="176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99" t="s">
        <v>1436</v>
      </c>
      <c r="B89" s="61" t="s">
        <v>1437</v>
      </c>
      <c r="C89" s="95">
        <v>9.03</v>
      </c>
      <c r="D89" s="94">
        <v>10.0</v>
      </c>
      <c r="E89" s="94">
        <v>10.0</v>
      </c>
      <c r="F89" s="94">
        <v>80.0</v>
      </c>
      <c r="G89" s="97">
        <v>6.009698066446E12</v>
      </c>
      <c r="H89" s="176"/>
      <c r="I89" s="176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99" t="s">
        <v>1438</v>
      </c>
      <c r="B90" s="61" t="s">
        <v>1439</v>
      </c>
      <c r="C90" s="95">
        <v>11.15</v>
      </c>
      <c r="D90" s="94">
        <v>10.0</v>
      </c>
      <c r="E90" s="94">
        <v>10.0</v>
      </c>
      <c r="F90" s="94">
        <v>60.0</v>
      </c>
      <c r="G90" s="97">
        <v>6.00969806646E12</v>
      </c>
      <c r="H90" s="176"/>
      <c r="I90" s="176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99"/>
      <c r="B91" s="61"/>
      <c r="C91" s="95"/>
      <c r="D91" s="94"/>
      <c r="E91" s="94"/>
      <c r="F91" s="94"/>
      <c r="G91" s="97"/>
      <c r="H91" s="176"/>
      <c r="I91" s="176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99"/>
      <c r="B92" s="101" t="s">
        <v>163</v>
      </c>
      <c r="C92" s="95"/>
      <c r="D92" s="94"/>
      <c r="E92" s="96"/>
      <c r="F92" s="96"/>
      <c r="G92" s="97"/>
      <c r="H92" s="176"/>
      <c r="I92" s="176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99" t="s">
        <v>1440</v>
      </c>
      <c r="B93" s="61" t="s">
        <v>1441</v>
      </c>
      <c r="C93" s="95">
        <v>133.34</v>
      </c>
      <c r="D93" s="184">
        <v>5.0</v>
      </c>
      <c r="E93" s="94" t="s">
        <v>213</v>
      </c>
      <c r="F93" s="94">
        <v>5.0</v>
      </c>
      <c r="G93" s="97">
        <v>6.009698065852E12</v>
      </c>
      <c r="H93" s="176"/>
      <c r="I93" s="176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99" t="s">
        <v>1442</v>
      </c>
      <c r="B94" s="61" t="s">
        <v>1443</v>
      </c>
      <c r="C94" s="95">
        <v>133.34</v>
      </c>
      <c r="D94" s="184">
        <v>5.0</v>
      </c>
      <c r="E94" s="94" t="s">
        <v>213</v>
      </c>
      <c r="F94" s="94">
        <v>5.0</v>
      </c>
      <c r="G94" s="97">
        <v>6.009685853981E12</v>
      </c>
      <c r="H94" s="176"/>
      <c r="I94" s="176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99" t="s">
        <v>1444</v>
      </c>
      <c r="B95" s="61" t="s">
        <v>1445</v>
      </c>
      <c r="C95" s="95">
        <v>133.34</v>
      </c>
      <c r="D95" s="184">
        <v>5.0</v>
      </c>
      <c r="E95" s="94" t="s">
        <v>213</v>
      </c>
      <c r="F95" s="94">
        <v>5.0</v>
      </c>
      <c r="G95" s="97">
        <v>6.009685853998E12</v>
      </c>
      <c r="H95" s="176"/>
      <c r="I95" s="176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99" t="s">
        <v>1446</v>
      </c>
      <c r="B96" s="61" t="s">
        <v>1447</v>
      </c>
      <c r="C96" s="95">
        <v>133.34</v>
      </c>
      <c r="D96" s="184">
        <v>5.0</v>
      </c>
      <c r="E96" s="94" t="s">
        <v>213</v>
      </c>
      <c r="F96" s="94">
        <v>5.0</v>
      </c>
      <c r="G96" s="97">
        <v>6.009685854018E12</v>
      </c>
      <c r="H96" s="176"/>
      <c r="I96" s="176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178" t="s">
        <v>1448</v>
      </c>
      <c r="B97" s="61" t="s">
        <v>1449</v>
      </c>
      <c r="C97" s="95">
        <v>22.39</v>
      </c>
      <c r="D97" s="145">
        <v>10.0</v>
      </c>
      <c r="E97" s="145">
        <v>10.0</v>
      </c>
      <c r="F97" s="145">
        <v>60.0</v>
      </c>
      <c r="G97" s="97">
        <v>6.009685856241E12</v>
      </c>
      <c r="H97" s="176"/>
      <c r="I97" s="176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78"/>
      <c r="B98" s="61"/>
      <c r="C98" s="95"/>
      <c r="D98" s="145"/>
      <c r="E98" s="145"/>
      <c r="F98" s="145"/>
      <c r="G98" s="97"/>
      <c r="H98" s="176"/>
      <c r="I98" s="176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99"/>
      <c r="B99" s="101" t="s">
        <v>139</v>
      </c>
      <c r="C99" s="95"/>
      <c r="D99" s="94"/>
      <c r="E99" s="177"/>
      <c r="F99" s="177"/>
      <c r="G99" s="147"/>
      <c r="H99" s="176"/>
      <c r="I99" s="176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99" t="s">
        <v>1450</v>
      </c>
      <c r="B100" s="154" t="s">
        <v>1451</v>
      </c>
      <c r="C100" s="95">
        <v>67.2</v>
      </c>
      <c r="D100" s="94">
        <v>6.0</v>
      </c>
      <c r="E100" s="96">
        <v>12.0</v>
      </c>
      <c r="F100" s="94">
        <v>48.0</v>
      </c>
      <c r="G100" s="97">
        <v>6.009685854896E12</v>
      </c>
      <c r="H100" s="176"/>
      <c r="I100" s="176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99" t="s">
        <v>1452</v>
      </c>
      <c r="B101" s="154" t="s">
        <v>1453</v>
      </c>
      <c r="C101" s="95">
        <v>39.36</v>
      </c>
      <c r="D101" s="94">
        <v>12.0</v>
      </c>
      <c r="E101" s="96">
        <v>12.0</v>
      </c>
      <c r="F101" s="94">
        <v>120.0</v>
      </c>
      <c r="G101" s="97">
        <v>6.009608646706E12</v>
      </c>
      <c r="H101" s="176"/>
      <c r="I101" s="176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99"/>
      <c r="B102" s="154"/>
      <c r="C102" s="95"/>
      <c r="D102" s="94"/>
      <c r="E102" s="96"/>
      <c r="F102" s="94"/>
      <c r="G102" s="97"/>
      <c r="H102" s="176"/>
      <c r="I102" s="176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185"/>
      <c r="B103" s="101" t="s">
        <v>118</v>
      </c>
      <c r="C103" s="95"/>
      <c r="D103" s="94"/>
      <c r="E103" s="94"/>
      <c r="F103" s="94"/>
      <c r="G103" s="97"/>
      <c r="H103" s="176"/>
      <c r="I103" s="176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99" t="s">
        <v>1454</v>
      </c>
      <c r="B104" s="61" t="s">
        <v>1455</v>
      </c>
      <c r="C104" s="95">
        <v>2.1599999999999997</v>
      </c>
      <c r="D104" s="94">
        <v>50.0</v>
      </c>
      <c r="E104" s="94">
        <v>50.0</v>
      </c>
      <c r="F104" s="94">
        <v>200.0</v>
      </c>
      <c r="G104" s="97">
        <v>6.009685854506E12</v>
      </c>
      <c r="H104" s="176"/>
      <c r="I104" s="176"/>
      <c r="J104" s="176"/>
      <c r="K104" s="176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99" t="s">
        <v>1456</v>
      </c>
      <c r="B105" s="61" t="s">
        <v>1457</v>
      </c>
      <c r="C105" s="95">
        <v>2.1599999999999997</v>
      </c>
      <c r="D105" s="94">
        <v>100.0</v>
      </c>
      <c r="E105" s="94" t="s">
        <v>213</v>
      </c>
      <c r="F105" s="94">
        <v>100.0</v>
      </c>
      <c r="G105" s="97">
        <v>6.009685854506E12</v>
      </c>
      <c r="H105" s="176"/>
      <c r="I105" s="176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99" t="s">
        <v>1458</v>
      </c>
      <c r="B106" s="61" t="s">
        <v>1459</v>
      </c>
      <c r="C106" s="95">
        <v>2.6399999999999997</v>
      </c>
      <c r="D106" s="94">
        <v>100.0</v>
      </c>
      <c r="E106" s="94" t="s">
        <v>213</v>
      </c>
      <c r="F106" s="94">
        <v>100.0</v>
      </c>
      <c r="G106" s="97">
        <v>6.009685854865E12</v>
      </c>
      <c r="H106" s="176"/>
      <c r="I106" s="176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99" t="s">
        <v>1460</v>
      </c>
      <c r="B107" s="61" t="s">
        <v>1461</v>
      </c>
      <c r="C107" s="95">
        <v>3.84</v>
      </c>
      <c r="D107" s="94">
        <v>40.0</v>
      </c>
      <c r="E107" s="94">
        <v>40.0</v>
      </c>
      <c r="F107" s="94">
        <v>160.0</v>
      </c>
      <c r="G107" s="97">
        <v>6.009685854544E12</v>
      </c>
      <c r="H107" s="176"/>
      <c r="I107" s="176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99" t="s">
        <v>1462</v>
      </c>
      <c r="B108" s="61" t="s">
        <v>1463</v>
      </c>
      <c r="C108" s="95">
        <v>6.37</v>
      </c>
      <c r="D108" s="94">
        <v>30.0</v>
      </c>
      <c r="E108" s="94">
        <v>30.0</v>
      </c>
      <c r="F108" s="94">
        <v>120.0</v>
      </c>
      <c r="G108" s="97">
        <v>6.009685854636E12</v>
      </c>
      <c r="H108" s="176"/>
      <c r="I108" s="176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99" t="s">
        <v>1464</v>
      </c>
      <c r="B109" s="61" t="s">
        <v>1465</v>
      </c>
      <c r="C109" s="95">
        <v>9.56</v>
      </c>
      <c r="D109" s="94">
        <v>18.0</v>
      </c>
      <c r="E109" s="94" t="s">
        <v>213</v>
      </c>
      <c r="F109" s="94">
        <v>18.0</v>
      </c>
      <c r="G109" s="97">
        <v>6.009608644146E12</v>
      </c>
      <c r="H109" s="176"/>
      <c r="I109" s="176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99" t="s">
        <v>1466</v>
      </c>
      <c r="B110" s="59" t="s">
        <v>1467</v>
      </c>
      <c r="C110" s="95">
        <v>3.19</v>
      </c>
      <c r="D110" s="94">
        <v>100.0</v>
      </c>
      <c r="E110" s="94" t="s">
        <v>213</v>
      </c>
      <c r="F110" s="94">
        <v>100.0</v>
      </c>
      <c r="G110" s="97">
        <v>6.009608648953E12</v>
      </c>
      <c r="H110" s="176"/>
      <c r="I110" s="176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99" t="s">
        <v>1468</v>
      </c>
      <c r="B111" s="61" t="s">
        <v>1469</v>
      </c>
      <c r="C111" s="95">
        <v>16.470000000000002</v>
      </c>
      <c r="D111" s="94">
        <v>40.0</v>
      </c>
      <c r="E111" s="94" t="s">
        <v>213</v>
      </c>
      <c r="F111" s="94">
        <v>40.0</v>
      </c>
      <c r="G111" s="97">
        <v>6.009699516087E12</v>
      </c>
      <c r="H111" s="176"/>
      <c r="I111" s="176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99" t="s">
        <v>1470</v>
      </c>
      <c r="B112" s="59" t="s">
        <v>1471</v>
      </c>
      <c r="C112" s="95">
        <v>5.88</v>
      </c>
      <c r="D112" s="94">
        <v>50.0</v>
      </c>
      <c r="E112" s="94">
        <v>50.0</v>
      </c>
      <c r="F112" s="94">
        <v>200.0</v>
      </c>
      <c r="G112" s="97">
        <v>6.009685853721E12</v>
      </c>
      <c r="H112" s="176"/>
      <c r="I112" s="176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99" t="s">
        <v>1472</v>
      </c>
      <c r="B113" s="59" t="s">
        <v>1473</v>
      </c>
      <c r="C113" s="95">
        <v>13.49</v>
      </c>
      <c r="D113" s="94">
        <v>70.0</v>
      </c>
      <c r="E113" s="94" t="s">
        <v>213</v>
      </c>
      <c r="F113" s="94">
        <v>70.0</v>
      </c>
      <c r="G113" s="97">
        <v>6.009608647277E12</v>
      </c>
      <c r="H113" s="176"/>
      <c r="I113" s="176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186" t="s">
        <v>1474</v>
      </c>
      <c r="B114" s="61" t="s">
        <v>1475</v>
      </c>
      <c r="C114" s="95">
        <v>0.0</v>
      </c>
      <c r="D114" s="94" t="s">
        <v>1476</v>
      </c>
      <c r="E114" s="94" t="s">
        <v>213</v>
      </c>
      <c r="F114" s="94" t="s">
        <v>1476</v>
      </c>
      <c r="G114" s="97"/>
      <c r="H114" s="176"/>
      <c r="I114" s="176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99"/>
      <c r="B115" s="59"/>
      <c r="C115" s="95"/>
      <c r="D115" s="94"/>
      <c r="E115" s="94"/>
      <c r="F115" s="94"/>
      <c r="G115" s="97"/>
      <c r="H115" s="176"/>
      <c r="I115" s="176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185"/>
      <c r="B116" s="101" t="s">
        <v>1477</v>
      </c>
      <c r="C116" s="95"/>
      <c r="D116" s="94"/>
      <c r="E116" s="94"/>
      <c r="F116" s="94"/>
      <c r="G116" s="97"/>
      <c r="H116" s="176"/>
      <c r="I116" s="176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99" t="s">
        <v>1478</v>
      </c>
      <c r="B117" s="61" t="s">
        <v>1479</v>
      </c>
      <c r="C117" s="95">
        <v>2.28</v>
      </c>
      <c r="D117" s="94">
        <v>50.0</v>
      </c>
      <c r="E117" s="94">
        <v>50.0</v>
      </c>
      <c r="F117" s="94">
        <v>300.0</v>
      </c>
      <c r="G117" s="97">
        <v>6.009685855411E12</v>
      </c>
      <c r="H117" s="176"/>
      <c r="I117" s="176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187" t="s">
        <v>1480</v>
      </c>
      <c r="B118" s="61" t="s">
        <v>1481</v>
      </c>
      <c r="C118" s="95">
        <v>2.28</v>
      </c>
      <c r="D118" s="94">
        <v>100.0</v>
      </c>
      <c r="E118" s="94" t="s">
        <v>213</v>
      </c>
      <c r="F118" s="94">
        <v>100.0</v>
      </c>
      <c r="G118" s="97">
        <v>6.009685855411E12</v>
      </c>
      <c r="H118" s="176"/>
      <c r="I118" s="176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99" t="s">
        <v>1482</v>
      </c>
      <c r="B119" s="61" t="s">
        <v>1483</v>
      </c>
      <c r="C119" s="95">
        <v>3.09</v>
      </c>
      <c r="D119" s="94">
        <v>50.0</v>
      </c>
      <c r="E119" s="94">
        <v>50.0</v>
      </c>
      <c r="F119" s="94">
        <v>300.0</v>
      </c>
      <c r="G119" s="97">
        <v>6.009685854476E12</v>
      </c>
      <c r="H119" s="176"/>
      <c r="I119" s="176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99" t="s">
        <v>1484</v>
      </c>
      <c r="B120" s="61" t="s">
        <v>1485</v>
      </c>
      <c r="C120" s="95">
        <v>3.09</v>
      </c>
      <c r="D120" s="94">
        <v>100.0</v>
      </c>
      <c r="E120" s="94" t="s">
        <v>213</v>
      </c>
      <c r="F120" s="94">
        <v>100.0</v>
      </c>
      <c r="G120" s="97">
        <v>6.009685854476E12</v>
      </c>
      <c r="H120" s="176"/>
      <c r="I120" s="176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99" t="s">
        <v>1486</v>
      </c>
      <c r="B121" s="61" t="s">
        <v>1487</v>
      </c>
      <c r="C121" s="95">
        <v>5.99</v>
      </c>
      <c r="D121" s="94">
        <v>50.0</v>
      </c>
      <c r="E121" s="94">
        <v>50.0</v>
      </c>
      <c r="F121" s="94">
        <v>200.0</v>
      </c>
      <c r="G121" s="97">
        <v>6.009801541006E12</v>
      </c>
      <c r="H121" s="176"/>
      <c r="I121" s="176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99" t="s">
        <v>1488</v>
      </c>
      <c r="B122" s="61" t="s">
        <v>1489</v>
      </c>
      <c r="C122" s="95">
        <v>7.7</v>
      </c>
      <c r="D122" s="94">
        <v>130.0</v>
      </c>
      <c r="E122" s="94" t="s">
        <v>213</v>
      </c>
      <c r="F122" s="94">
        <v>130.0</v>
      </c>
      <c r="G122" s="97">
        <v>6.002324004126E12</v>
      </c>
      <c r="H122" s="176"/>
      <c r="I122" s="176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99" t="s">
        <v>1490</v>
      </c>
      <c r="B123" s="61" t="s">
        <v>1491</v>
      </c>
      <c r="C123" s="95">
        <v>14.36</v>
      </c>
      <c r="D123" s="94">
        <v>70.0</v>
      </c>
      <c r="E123" s="94" t="s">
        <v>213</v>
      </c>
      <c r="F123" s="94">
        <v>70.0</v>
      </c>
      <c r="G123" s="97">
        <v>6.009698066163E12</v>
      </c>
      <c r="H123" s="176"/>
      <c r="I123" s="176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99"/>
      <c r="B124" s="61"/>
      <c r="C124" s="95"/>
      <c r="D124" s="94"/>
      <c r="E124" s="94"/>
      <c r="F124" s="94"/>
      <c r="G124" s="97"/>
      <c r="H124" s="176"/>
      <c r="I124" s="176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99"/>
      <c r="B125" s="61"/>
      <c r="C125" s="95"/>
      <c r="D125" s="94"/>
      <c r="E125" s="94"/>
      <c r="F125" s="94"/>
      <c r="G125" s="97"/>
      <c r="H125" s="176"/>
      <c r="I125" s="176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99"/>
      <c r="B126" s="61"/>
      <c r="C126" s="95"/>
      <c r="D126" s="94"/>
      <c r="E126" s="94"/>
      <c r="F126" s="94"/>
      <c r="G126" s="97"/>
      <c r="H126" s="176"/>
      <c r="I126" s="176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99"/>
      <c r="B127" s="61"/>
      <c r="C127" s="95"/>
      <c r="D127" s="94"/>
      <c r="E127" s="94"/>
      <c r="F127" s="94"/>
      <c r="G127" s="97"/>
      <c r="H127" s="176"/>
      <c r="I127" s="176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150"/>
      <c r="B128" s="105"/>
      <c r="C128" s="107"/>
      <c r="D128" s="106"/>
      <c r="E128" s="106"/>
      <c r="F128" s="106"/>
      <c r="G128" s="109"/>
      <c r="H128" s="176"/>
      <c r="I128" s="176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110"/>
      <c r="B129" s="88" t="s">
        <v>1492</v>
      </c>
      <c r="C129" s="111"/>
      <c r="D129" s="89"/>
      <c r="E129" s="89"/>
      <c r="F129" s="89"/>
      <c r="G129" s="92"/>
      <c r="H129" s="176"/>
      <c r="I129" s="176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99" t="s">
        <v>1493</v>
      </c>
      <c r="B130" s="59" t="s">
        <v>1494</v>
      </c>
      <c r="C130" s="95">
        <v>2.7699999999999996</v>
      </c>
      <c r="D130" s="94" t="s">
        <v>1476</v>
      </c>
      <c r="E130" s="94">
        <v>50.0</v>
      </c>
      <c r="F130" s="94" t="s">
        <v>1476</v>
      </c>
      <c r="G130" s="97" t="s">
        <v>1495</v>
      </c>
      <c r="H130" s="176"/>
      <c r="I130" s="176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99" t="s">
        <v>1496</v>
      </c>
      <c r="B131" s="59" t="s">
        <v>1497</v>
      </c>
      <c r="C131" s="95">
        <v>4.97</v>
      </c>
      <c r="D131" s="94" t="s">
        <v>1476</v>
      </c>
      <c r="E131" s="94" t="s">
        <v>1476</v>
      </c>
      <c r="F131" s="94" t="s">
        <v>1476</v>
      </c>
      <c r="G131" s="97" t="s">
        <v>1498</v>
      </c>
      <c r="H131" s="176"/>
      <c r="I131" s="176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99" t="s">
        <v>1499</v>
      </c>
      <c r="B132" s="59" t="s">
        <v>1500</v>
      </c>
      <c r="C132" s="95">
        <v>9.33</v>
      </c>
      <c r="D132" s="94" t="s">
        <v>1476</v>
      </c>
      <c r="E132" s="94" t="s">
        <v>1476</v>
      </c>
      <c r="F132" s="94" t="s">
        <v>1476</v>
      </c>
      <c r="G132" s="97" t="s">
        <v>1501</v>
      </c>
      <c r="H132" s="176"/>
      <c r="I132" s="176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99" t="s">
        <v>1502</v>
      </c>
      <c r="B133" s="59" t="s">
        <v>1503</v>
      </c>
      <c r="C133" s="95">
        <v>13.2</v>
      </c>
      <c r="D133" s="94" t="s">
        <v>1476</v>
      </c>
      <c r="E133" s="94" t="s">
        <v>1476</v>
      </c>
      <c r="F133" s="94" t="s">
        <v>1476</v>
      </c>
      <c r="G133" s="97" t="s">
        <v>1504</v>
      </c>
      <c r="H133" s="176"/>
      <c r="I133" s="176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99" t="s">
        <v>1505</v>
      </c>
      <c r="B134" s="59" t="s">
        <v>1506</v>
      </c>
      <c r="C134" s="95">
        <v>6.76</v>
      </c>
      <c r="D134" s="94" t="s">
        <v>1476</v>
      </c>
      <c r="E134" s="94" t="s">
        <v>1476</v>
      </c>
      <c r="F134" s="94" t="s">
        <v>1476</v>
      </c>
      <c r="G134" s="97" t="s">
        <v>1507</v>
      </c>
      <c r="H134" s="176"/>
      <c r="I134" s="176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99"/>
      <c r="B135" s="59"/>
      <c r="C135" s="95"/>
      <c r="D135" s="94"/>
      <c r="E135" s="94"/>
      <c r="F135" s="94"/>
      <c r="G135" s="97"/>
      <c r="H135" s="176"/>
      <c r="I135" s="176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185"/>
      <c r="B136" s="101" t="s">
        <v>115</v>
      </c>
      <c r="C136" s="95"/>
      <c r="D136" s="94"/>
      <c r="E136" s="94"/>
      <c r="F136" s="94"/>
      <c r="G136" s="97"/>
      <c r="H136" s="176"/>
      <c r="I136" s="176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188" t="s">
        <v>1508</v>
      </c>
      <c r="B137" s="189" t="s">
        <v>1509</v>
      </c>
      <c r="C137" s="190">
        <v>11.7</v>
      </c>
      <c r="D137" s="162">
        <v>25.0</v>
      </c>
      <c r="E137" s="191">
        <v>25.0</v>
      </c>
      <c r="F137" s="162">
        <v>50.0</v>
      </c>
      <c r="G137" s="192">
        <v>6.009697791141E12</v>
      </c>
      <c r="H137" s="176"/>
      <c r="I137" s="176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193"/>
      <c r="B138" s="194" t="s">
        <v>1510</v>
      </c>
      <c r="C138" s="165"/>
      <c r="D138" s="195"/>
      <c r="E138" s="73"/>
      <c r="F138" s="195"/>
      <c r="G138" s="196"/>
      <c r="H138" s="176"/>
      <c r="I138" s="176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193"/>
      <c r="B139" s="194" t="s">
        <v>1511</v>
      </c>
      <c r="C139" s="165"/>
      <c r="D139" s="195"/>
      <c r="E139" s="73"/>
      <c r="F139" s="195"/>
      <c r="G139" s="196"/>
      <c r="H139" s="176"/>
      <c r="I139" s="176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193"/>
      <c r="B140" s="194" t="s">
        <v>1512</v>
      </c>
      <c r="C140" s="165"/>
      <c r="D140" s="195"/>
      <c r="E140" s="73"/>
      <c r="F140" s="195"/>
      <c r="G140" s="196"/>
      <c r="H140" s="176"/>
      <c r="I140" s="176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193"/>
      <c r="B141" s="197" t="s">
        <v>1513</v>
      </c>
      <c r="C141" s="198"/>
      <c r="D141" s="195"/>
      <c r="E141" s="73"/>
      <c r="F141" s="195"/>
      <c r="G141" s="196"/>
      <c r="H141" s="176"/>
      <c r="I141" s="176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188" t="s">
        <v>1514</v>
      </c>
      <c r="B142" s="199" t="s">
        <v>1515</v>
      </c>
      <c r="C142" s="161">
        <v>13.6</v>
      </c>
      <c r="D142" s="191">
        <v>10.0</v>
      </c>
      <c r="E142" s="162">
        <v>10.0</v>
      </c>
      <c r="F142" s="162">
        <v>50.0</v>
      </c>
      <c r="G142" s="192">
        <v>6.009608647376E12</v>
      </c>
      <c r="H142" s="176"/>
      <c r="I142" s="176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193"/>
      <c r="B143" s="20" t="s">
        <v>1516</v>
      </c>
      <c r="C143" s="200"/>
      <c r="D143" s="73"/>
      <c r="E143" s="195"/>
      <c r="F143" s="195"/>
      <c r="G143" s="196"/>
      <c r="H143" s="176"/>
      <c r="I143" s="176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193"/>
      <c r="B144" s="20" t="s">
        <v>1517</v>
      </c>
      <c r="C144" s="200"/>
      <c r="D144" s="73"/>
      <c r="E144" s="195"/>
      <c r="F144" s="195"/>
      <c r="G144" s="196"/>
      <c r="H144" s="176"/>
      <c r="I144" s="176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193"/>
      <c r="B145" s="20" t="s">
        <v>1518</v>
      </c>
      <c r="C145" s="200"/>
      <c r="D145" s="73"/>
      <c r="E145" s="195"/>
      <c r="F145" s="195"/>
      <c r="G145" s="196"/>
      <c r="H145" s="176"/>
      <c r="I145" s="176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193"/>
      <c r="B146" s="20" t="s">
        <v>1519</v>
      </c>
      <c r="C146" s="200"/>
      <c r="D146" s="73"/>
      <c r="E146" s="195"/>
      <c r="F146" s="195"/>
      <c r="G146" s="196"/>
      <c r="H146" s="176"/>
      <c r="I146" s="176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188" t="s">
        <v>1520</v>
      </c>
      <c r="B147" s="189" t="s">
        <v>1521</v>
      </c>
      <c r="C147" s="201">
        <v>16.490000000000002</v>
      </c>
      <c r="D147" s="162">
        <v>10.0</v>
      </c>
      <c r="E147" s="191">
        <v>10.0</v>
      </c>
      <c r="F147" s="162">
        <v>50.0</v>
      </c>
      <c r="G147" s="192">
        <v>6.009608647352E12</v>
      </c>
      <c r="H147" s="176"/>
      <c r="I147" s="176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193"/>
      <c r="B148" s="202" t="s">
        <v>1522</v>
      </c>
      <c r="C148" s="165"/>
      <c r="D148" s="195"/>
      <c r="E148" s="73"/>
      <c r="F148" s="195"/>
      <c r="G148" s="196"/>
      <c r="H148" s="176"/>
      <c r="I148" s="176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193"/>
      <c r="B149" s="202" t="s">
        <v>1523</v>
      </c>
      <c r="C149" s="165"/>
      <c r="D149" s="195"/>
      <c r="E149" s="73"/>
      <c r="F149" s="195"/>
      <c r="G149" s="196"/>
      <c r="H149" s="176"/>
      <c r="I149" s="176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193"/>
      <c r="B150" s="202" t="s">
        <v>1518</v>
      </c>
      <c r="C150" s="165"/>
      <c r="D150" s="195"/>
      <c r="E150" s="73"/>
      <c r="F150" s="195"/>
      <c r="G150" s="196"/>
      <c r="H150" s="176"/>
      <c r="I150" s="176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193"/>
      <c r="B151" s="202" t="s">
        <v>1524</v>
      </c>
      <c r="C151" s="165"/>
      <c r="D151" s="195"/>
      <c r="E151" s="73"/>
      <c r="F151" s="195"/>
      <c r="G151" s="196"/>
      <c r="H151" s="176"/>
      <c r="I151" s="176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110"/>
      <c r="B152" s="57" t="s">
        <v>1525</v>
      </c>
      <c r="C152" s="203"/>
      <c r="D152" s="89"/>
      <c r="E152" s="204"/>
      <c r="F152" s="89"/>
      <c r="G152" s="205"/>
      <c r="H152" s="176"/>
      <c r="I152" s="176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110" t="s">
        <v>1526</v>
      </c>
      <c r="B153" s="206" t="s">
        <v>1527</v>
      </c>
      <c r="C153" s="111">
        <v>15.09</v>
      </c>
      <c r="D153" s="207">
        <v>16.0</v>
      </c>
      <c r="E153" s="207">
        <v>16.0</v>
      </c>
      <c r="F153" s="207">
        <v>96.0</v>
      </c>
      <c r="G153" s="92">
        <v>6.009608648045E12</v>
      </c>
      <c r="H153" s="176"/>
      <c r="I153" s="176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99"/>
      <c r="B154" s="61"/>
      <c r="C154" s="95"/>
      <c r="D154" s="94"/>
      <c r="E154" s="94"/>
      <c r="F154" s="94"/>
      <c r="G154" s="97"/>
      <c r="H154" s="176"/>
      <c r="I154" s="176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185"/>
      <c r="B155" s="101" t="s">
        <v>126</v>
      </c>
      <c r="C155" s="95"/>
      <c r="D155" s="94"/>
      <c r="E155" s="94"/>
      <c r="F155" s="96"/>
      <c r="G155" s="97"/>
      <c r="H155" s="176"/>
      <c r="I155" s="176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99" t="s">
        <v>1528</v>
      </c>
      <c r="B156" s="61" t="s">
        <v>1529</v>
      </c>
      <c r="C156" s="95">
        <v>7.069999999999999</v>
      </c>
      <c r="D156" s="94">
        <v>20.0</v>
      </c>
      <c r="E156" s="94">
        <v>20.0</v>
      </c>
      <c r="F156" s="94">
        <v>100.0</v>
      </c>
      <c r="G156" s="97">
        <v>6.009685855114E12</v>
      </c>
      <c r="H156" s="176"/>
      <c r="I156" s="176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99" t="s">
        <v>1530</v>
      </c>
      <c r="B157" s="61" t="s">
        <v>1531</v>
      </c>
      <c r="C157" s="95">
        <v>8.23</v>
      </c>
      <c r="D157" s="94">
        <v>20.0</v>
      </c>
      <c r="E157" s="94">
        <v>20.0</v>
      </c>
      <c r="F157" s="94">
        <v>120.0</v>
      </c>
      <c r="G157" s="97">
        <v>6.00968585535E12</v>
      </c>
      <c r="H157" s="176"/>
      <c r="I157" s="176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99" t="s">
        <v>1532</v>
      </c>
      <c r="B158" s="59" t="s">
        <v>1533</v>
      </c>
      <c r="C158" s="95">
        <v>11.93</v>
      </c>
      <c r="D158" s="184">
        <v>16.0</v>
      </c>
      <c r="E158" s="184">
        <v>16.0</v>
      </c>
      <c r="F158" s="184">
        <v>96.0</v>
      </c>
      <c r="G158" s="97">
        <v>6.009685854872E12</v>
      </c>
      <c r="H158" s="176"/>
      <c r="I158" s="176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99" t="s">
        <v>1534</v>
      </c>
      <c r="B159" s="59" t="s">
        <v>1535</v>
      </c>
      <c r="C159" s="95">
        <v>11.67</v>
      </c>
      <c r="D159" s="94">
        <v>20.0</v>
      </c>
      <c r="E159" s="94">
        <v>20.0</v>
      </c>
      <c r="F159" s="94">
        <v>200.0</v>
      </c>
      <c r="G159" s="97">
        <v>6.009698067078E12</v>
      </c>
      <c r="H159" s="176"/>
      <c r="I159" s="176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99" t="s">
        <v>1536</v>
      </c>
      <c r="B160" s="59" t="s">
        <v>1537</v>
      </c>
      <c r="C160" s="95">
        <v>6.39</v>
      </c>
      <c r="D160" s="184">
        <v>20.0</v>
      </c>
      <c r="E160" s="184">
        <v>20.0</v>
      </c>
      <c r="F160" s="94">
        <v>200.0</v>
      </c>
      <c r="G160" s="97">
        <v>6.009698067054E12</v>
      </c>
      <c r="H160" s="176"/>
      <c r="I160" s="176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99"/>
      <c r="B161" s="59"/>
      <c r="C161" s="95"/>
      <c r="D161" s="94"/>
      <c r="E161" s="94"/>
      <c r="F161" s="94"/>
      <c r="G161" s="97"/>
      <c r="H161" s="176"/>
      <c r="I161" s="176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99"/>
      <c r="B162" s="100" t="s">
        <v>1538</v>
      </c>
      <c r="C162" s="95"/>
      <c r="D162" s="94"/>
      <c r="E162" s="94"/>
      <c r="F162" s="94"/>
      <c r="G162" s="97"/>
      <c r="H162" s="176"/>
      <c r="I162" s="176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152" t="s">
        <v>1539</v>
      </c>
      <c r="B163" s="208" t="s">
        <v>1540</v>
      </c>
      <c r="C163" s="95">
        <v>25.32</v>
      </c>
      <c r="D163" s="94">
        <v>10.0</v>
      </c>
      <c r="E163" s="94">
        <v>10.0</v>
      </c>
      <c r="F163" s="94">
        <v>100.0</v>
      </c>
      <c r="G163" s="97">
        <v>6.0096977907E12</v>
      </c>
      <c r="H163" s="176"/>
      <c r="I163" s="176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99"/>
      <c r="B164" s="59"/>
      <c r="C164" s="95"/>
      <c r="D164" s="94"/>
      <c r="E164" s="94"/>
      <c r="F164" s="94"/>
      <c r="G164" s="97"/>
      <c r="H164" s="176"/>
      <c r="I164" s="176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185"/>
      <c r="B165" s="101" t="s">
        <v>1541</v>
      </c>
      <c r="C165" s="95"/>
      <c r="D165" s="94"/>
      <c r="E165" s="94"/>
      <c r="F165" s="94"/>
      <c r="G165" s="97"/>
      <c r="H165" s="176"/>
      <c r="I165" s="176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99" t="s">
        <v>1542</v>
      </c>
      <c r="B166" s="61" t="s">
        <v>1543</v>
      </c>
      <c r="C166" s="95">
        <v>7.13</v>
      </c>
      <c r="D166" s="94">
        <v>12.0</v>
      </c>
      <c r="E166" s="94">
        <v>12.0</v>
      </c>
      <c r="F166" s="94">
        <v>48.0</v>
      </c>
      <c r="G166" s="97">
        <v>6.009699519552E12</v>
      </c>
      <c r="H166" s="176"/>
      <c r="I166" s="176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99" t="s">
        <v>1544</v>
      </c>
      <c r="B167" s="61" t="s">
        <v>1545</v>
      </c>
      <c r="C167" s="95">
        <v>11.84</v>
      </c>
      <c r="D167" s="94">
        <v>12.0</v>
      </c>
      <c r="E167" s="94">
        <v>12.0</v>
      </c>
      <c r="F167" s="94">
        <v>48.0</v>
      </c>
      <c r="G167" s="97">
        <v>6.009699511129E12</v>
      </c>
      <c r="H167" s="176"/>
      <c r="I167" s="176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99" t="s">
        <v>1546</v>
      </c>
      <c r="B168" s="61" t="s">
        <v>1547</v>
      </c>
      <c r="C168" s="95">
        <v>26.540000000000003</v>
      </c>
      <c r="D168" s="94">
        <v>6.0</v>
      </c>
      <c r="E168" s="94">
        <v>6.0</v>
      </c>
      <c r="F168" s="94">
        <v>24.0</v>
      </c>
      <c r="G168" s="97">
        <v>6.009699511136E12</v>
      </c>
      <c r="H168" s="176"/>
      <c r="I168" s="176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99" t="s">
        <v>1548</v>
      </c>
      <c r="B169" s="61" t="s">
        <v>1549</v>
      </c>
      <c r="C169" s="95">
        <v>14.23</v>
      </c>
      <c r="D169" s="94">
        <v>12.0</v>
      </c>
      <c r="E169" s="94">
        <v>12.0</v>
      </c>
      <c r="F169" s="94">
        <v>48.0</v>
      </c>
      <c r="G169" s="97">
        <v>6.009699511143E12</v>
      </c>
      <c r="H169" s="176"/>
      <c r="I169" s="176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99"/>
      <c r="B170" s="61"/>
      <c r="C170" s="95"/>
      <c r="D170" s="94"/>
      <c r="E170" s="94"/>
      <c r="F170" s="94"/>
      <c r="G170" s="97"/>
      <c r="H170" s="176"/>
      <c r="I170" s="176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99"/>
      <c r="B171" s="101" t="s">
        <v>135</v>
      </c>
      <c r="C171" s="95"/>
      <c r="D171" s="94"/>
      <c r="E171" s="94"/>
      <c r="F171" s="94"/>
      <c r="G171" s="97"/>
      <c r="H171" s="176"/>
      <c r="I171" s="176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99" t="s">
        <v>1550</v>
      </c>
      <c r="B172" s="61" t="s">
        <v>1551</v>
      </c>
      <c r="C172" s="95">
        <v>14.89</v>
      </c>
      <c r="D172" s="94">
        <v>10.0</v>
      </c>
      <c r="E172" s="94">
        <v>10.0</v>
      </c>
      <c r="F172" s="94">
        <v>70.0</v>
      </c>
      <c r="G172" s="97">
        <v>6.009699513765E12</v>
      </c>
      <c r="H172" s="176"/>
      <c r="I172" s="176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178" t="s">
        <v>1552</v>
      </c>
      <c r="B173" s="61" t="s">
        <v>1553</v>
      </c>
      <c r="C173" s="95">
        <v>27.5</v>
      </c>
      <c r="D173" s="145">
        <v>10.0</v>
      </c>
      <c r="E173" s="145">
        <v>10.0</v>
      </c>
      <c r="F173" s="145">
        <v>70.0</v>
      </c>
      <c r="G173" s="148">
        <v>6.009698062097E12</v>
      </c>
      <c r="H173" s="176"/>
      <c r="I173" s="176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99" t="s">
        <v>1554</v>
      </c>
      <c r="B174" s="61" t="s">
        <v>1555</v>
      </c>
      <c r="C174" s="95">
        <v>11.5</v>
      </c>
      <c r="D174" s="94">
        <v>10.0</v>
      </c>
      <c r="E174" s="94">
        <v>10.0</v>
      </c>
      <c r="F174" s="94">
        <v>70.0</v>
      </c>
      <c r="G174" s="97">
        <v>6.009608644917E12</v>
      </c>
      <c r="H174" s="176"/>
      <c r="I174" s="176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99" t="s">
        <v>1556</v>
      </c>
      <c r="B175" s="61" t="s">
        <v>1557</v>
      </c>
      <c r="C175" s="95">
        <v>10.879999999999999</v>
      </c>
      <c r="D175" s="94">
        <v>10.0</v>
      </c>
      <c r="E175" s="94">
        <v>10.0</v>
      </c>
      <c r="F175" s="94">
        <v>120.0</v>
      </c>
      <c r="G175" s="97">
        <v>6.009608644924E12</v>
      </c>
      <c r="H175" s="176"/>
      <c r="I175" s="176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99" t="s">
        <v>1558</v>
      </c>
      <c r="B176" s="61" t="s">
        <v>1559</v>
      </c>
      <c r="C176" s="95">
        <v>11.3</v>
      </c>
      <c r="D176" s="94">
        <v>10.0</v>
      </c>
      <c r="E176" s="94">
        <v>10.0</v>
      </c>
      <c r="F176" s="94">
        <v>120.0</v>
      </c>
      <c r="G176" s="97">
        <v>6.009608648182E12</v>
      </c>
      <c r="H176" s="176"/>
      <c r="I176" s="176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99" t="s">
        <v>1560</v>
      </c>
      <c r="B177" s="59" t="s">
        <v>1561</v>
      </c>
      <c r="C177" s="95">
        <v>15.94</v>
      </c>
      <c r="D177" s="94">
        <v>10.0</v>
      </c>
      <c r="E177" s="94">
        <v>10.0</v>
      </c>
      <c r="F177" s="94">
        <v>70.0</v>
      </c>
      <c r="G177" s="97">
        <v>6.009608647338E12</v>
      </c>
      <c r="H177" s="176"/>
      <c r="I177" s="176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99"/>
      <c r="B178" s="59"/>
      <c r="C178" s="95"/>
      <c r="D178" s="94"/>
      <c r="E178" s="94"/>
      <c r="F178" s="94"/>
      <c r="G178" s="97"/>
      <c r="H178" s="176"/>
      <c r="I178" s="176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186"/>
      <c r="B179" s="209" t="s">
        <v>1562</v>
      </c>
      <c r="C179" s="95"/>
      <c r="D179" s="94"/>
      <c r="E179" s="181"/>
      <c r="F179" s="181"/>
      <c r="G179" s="97"/>
      <c r="H179" s="176"/>
      <c r="I179" s="176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99" t="s">
        <v>1563</v>
      </c>
      <c r="B180" s="154" t="s">
        <v>1564</v>
      </c>
      <c r="C180" s="95">
        <v>6.97</v>
      </c>
      <c r="D180" s="94">
        <v>60.0</v>
      </c>
      <c r="E180" s="94" t="s">
        <v>213</v>
      </c>
      <c r="F180" s="94">
        <v>60.0</v>
      </c>
      <c r="G180" s="97">
        <v>6.009685851734E12</v>
      </c>
      <c r="H180" s="176"/>
      <c r="I180" s="176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99" t="s">
        <v>1565</v>
      </c>
      <c r="B181" s="154" t="s">
        <v>1566</v>
      </c>
      <c r="C181" s="95">
        <v>12.49</v>
      </c>
      <c r="D181" s="94">
        <v>60.0</v>
      </c>
      <c r="E181" s="94" t="s">
        <v>213</v>
      </c>
      <c r="F181" s="94">
        <v>60.0</v>
      </c>
      <c r="G181" s="97">
        <v>6.009698066323E12</v>
      </c>
      <c r="H181" s="176"/>
      <c r="I181" s="176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99" t="s">
        <v>1567</v>
      </c>
      <c r="B182" s="154" t="s">
        <v>1568</v>
      </c>
      <c r="C182" s="95">
        <v>13.73</v>
      </c>
      <c r="D182" s="94">
        <v>60.0</v>
      </c>
      <c r="E182" s="94" t="s">
        <v>213</v>
      </c>
      <c r="F182" s="94">
        <v>60.0</v>
      </c>
      <c r="G182" s="97">
        <v>6.009608648373E12</v>
      </c>
      <c r="H182" s="176"/>
      <c r="I182" s="176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150" t="s">
        <v>1569</v>
      </c>
      <c r="B183" s="155" t="s">
        <v>1570</v>
      </c>
      <c r="C183" s="107">
        <v>4.68</v>
      </c>
      <c r="D183" s="106">
        <v>60.0</v>
      </c>
      <c r="E183" s="106" t="s">
        <v>213</v>
      </c>
      <c r="F183" s="106">
        <v>60.0</v>
      </c>
      <c r="G183" s="109">
        <v>6.009685858771E12</v>
      </c>
      <c r="H183" s="176"/>
      <c r="I183" s="176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123"/>
      <c r="B184" s="33"/>
      <c r="C184" s="167"/>
      <c r="D184" s="73"/>
      <c r="E184" s="73"/>
      <c r="F184" s="73"/>
      <c r="G184" s="73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123"/>
      <c r="B185" s="33"/>
      <c r="C185" s="167"/>
      <c r="D185" s="73"/>
      <c r="E185" s="73"/>
      <c r="F185" s="73"/>
      <c r="G185" s="73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123"/>
      <c r="B186" s="33"/>
      <c r="C186" s="167"/>
      <c r="D186" s="73"/>
      <c r="E186" s="73"/>
      <c r="F186" s="73"/>
      <c r="G186" s="73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123"/>
      <c r="B187" s="33"/>
      <c r="C187" s="167"/>
      <c r="D187" s="73"/>
      <c r="E187" s="73"/>
      <c r="F187" s="73"/>
      <c r="G187" s="73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123"/>
      <c r="B188" s="33"/>
      <c r="C188" s="167"/>
      <c r="D188" s="73"/>
      <c r="E188" s="73"/>
      <c r="F188" s="73"/>
      <c r="G188" s="73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123"/>
      <c r="B189" s="33"/>
      <c r="C189" s="167"/>
      <c r="D189" s="73"/>
      <c r="E189" s="73"/>
      <c r="F189" s="73"/>
      <c r="G189" s="73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123"/>
      <c r="B190" s="33"/>
      <c r="C190" s="167"/>
      <c r="D190" s="73"/>
      <c r="E190" s="73"/>
      <c r="F190" s="73"/>
      <c r="G190" s="73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123"/>
      <c r="B191" s="33"/>
      <c r="C191" s="167"/>
      <c r="D191" s="73"/>
      <c r="E191" s="73"/>
      <c r="F191" s="73"/>
      <c r="G191" s="73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123"/>
      <c r="B192" s="33"/>
      <c r="C192" s="167"/>
      <c r="D192" s="73"/>
      <c r="E192" s="73"/>
      <c r="F192" s="73"/>
      <c r="G192" s="73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123"/>
      <c r="B193" s="33"/>
      <c r="C193" s="167"/>
      <c r="D193" s="73"/>
      <c r="E193" s="73"/>
      <c r="F193" s="73"/>
      <c r="G193" s="73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123"/>
      <c r="B194" s="33"/>
      <c r="C194" s="167"/>
      <c r="D194" s="73"/>
      <c r="E194" s="73"/>
      <c r="F194" s="73"/>
      <c r="G194" s="73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123"/>
      <c r="B195" s="33"/>
      <c r="C195" s="167"/>
      <c r="D195" s="73"/>
      <c r="E195" s="73"/>
      <c r="F195" s="73"/>
      <c r="G195" s="73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123"/>
      <c r="B196" s="33"/>
      <c r="C196" s="167"/>
      <c r="D196" s="73"/>
      <c r="E196" s="73"/>
      <c r="F196" s="73"/>
      <c r="G196" s="73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123"/>
      <c r="B197" s="33"/>
      <c r="C197" s="167"/>
      <c r="D197" s="73"/>
      <c r="E197" s="73"/>
      <c r="F197" s="73"/>
      <c r="G197" s="73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123"/>
      <c r="B198" s="33"/>
      <c r="C198" s="167"/>
      <c r="D198" s="73"/>
      <c r="E198" s="73"/>
      <c r="F198" s="73"/>
      <c r="G198" s="73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123"/>
      <c r="B199" s="33"/>
      <c r="C199" s="167"/>
      <c r="D199" s="73"/>
      <c r="E199" s="73"/>
      <c r="F199" s="73"/>
      <c r="G199" s="73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123"/>
      <c r="B200" s="33"/>
      <c r="C200" s="167"/>
      <c r="D200" s="73"/>
      <c r="E200" s="73"/>
      <c r="F200" s="73"/>
      <c r="G200" s="73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123"/>
      <c r="B201" s="33"/>
      <c r="C201" s="167"/>
      <c r="D201" s="73"/>
      <c r="E201" s="73"/>
      <c r="F201" s="73"/>
      <c r="G201" s="73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123"/>
      <c r="B202" s="33"/>
      <c r="C202" s="167"/>
      <c r="D202" s="73"/>
      <c r="E202" s="73"/>
      <c r="F202" s="73"/>
      <c r="G202" s="73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123"/>
      <c r="B203" s="33"/>
      <c r="C203" s="167"/>
      <c r="D203" s="73"/>
      <c r="E203" s="73"/>
      <c r="F203" s="73"/>
      <c r="G203" s="73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123"/>
      <c r="B204" s="33"/>
      <c r="C204" s="167"/>
      <c r="D204" s="73"/>
      <c r="E204" s="73"/>
      <c r="F204" s="73"/>
      <c r="G204" s="73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123"/>
      <c r="B205" s="33"/>
      <c r="C205" s="167"/>
      <c r="D205" s="73"/>
      <c r="E205" s="73"/>
      <c r="F205" s="73"/>
      <c r="G205" s="73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123"/>
      <c r="B206" s="33"/>
      <c r="C206" s="167"/>
      <c r="D206" s="73"/>
      <c r="E206" s="73"/>
      <c r="F206" s="73"/>
      <c r="G206" s="73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123"/>
      <c r="B207" s="33"/>
      <c r="C207" s="167"/>
      <c r="D207" s="73"/>
      <c r="E207" s="73"/>
      <c r="F207" s="73"/>
      <c r="G207" s="73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123"/>
      <c r="B208" s="33"/>
      <c r="C208" s="167"/>
      <c r="D208" s="73"/>
      <c r="E208" s="73"/>
      <c r="F208" s="73"/>
      <c r="G208" s="73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123"/>
      <c r="B209" s="33"/>
      <c r="C209" s="167"/>
      <c r="D209" s="73"/>
      <c r="E209" s="73"/>
      <c r="F209" s="73"/>
      <c r="G209" s="73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123"/>
      <c r="B210" s="33"/>
      <c r="C210" s="167"/>
      <c r="D210" s="73"/>
      <c r="E210" s="73"/>
      <c r="F210" s="73"/>
      <c r="G210" s="73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123"/>
      <c r="B211" s="33"/>
      <c r="C211" s="167"/>
      <c r="D211" s="73"/>
      <c r="E211" s="73"/>
      <c r="F211" s="73"/>
      <c r="G211" s="73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123"/>
      <c r="B212" s="33"/>
      <c r="C212" s="167"/>
      <c r="D212" s="73"/>
      <c r="E212" s="73"/>
      <c r="F212" s="73"/>
      <c r="G212" s="73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123"/>
      <c r="B213" s="33"/>
      <c r="C213" s="167"/>
      <c r="D213" s="73"/>
      <c r="E213" s="73"/>
      <c r="F213" s="73"/>
      <c r="G213" s="73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123"/>
      <c r="B214" s="33"/>
      <c r="C214" s="167"/>
      <c r="D214" s="73"/>
      <c r="E214" s="73"/>
      <c r="F214" s="73"/>
      <c r="G214" s="73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123"/>
      <c r="B215" s="33"/>
      <c r="C215" s="167"/>
      <c r="D215" s="73"/>
      <c r="E215" s="73"/>
      <c r="F215" s="73"/>
      <c r="G215" s="73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123"/>
      <c r="B216" s="33"/>
      <c r="C216" s="167"/>
      <c r="D216" s="73"/>
      <c r="E216" s="73"/>
      <c r="F216" s="73"/>
      <c r="G216" s="73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123"/>
      <c r="B217" s="33"/>
      <c r="C217" s="167"/>
      <c r="D217" s="73"/>
      <c r="E217" s="73"/>
      <c r="F217" s="73"/>
      <c r="G217" s="73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123"/>
      <c r="B218" s="33"/>
      <c r="C218" s="167"/>
      <c r="D218" s="73"/>
      <c r="E218" s="73"/>
      <c r="F218" s="73"/>
      <c r="G218" s="73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123"/>
      <c r="B219" s="33"/>
      <c r="C219" s="167"/>
      <c r="D219" s="73"/>
      <c r="E219" s="73"/>
      <c r="F219" s="73"/>
      <c r="G219" s="73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123"/>
      <c r="B220" s="33"/>
      <c r="C220" s="167"/>
      <c r="D220" s="73"/>
      <c r="E220" s="73"/>
      <c r="F220" s="73"/>
      <c r="G220" s="73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123"/>
      <c r="B221" s="33"/>
      <c r="C221" s="167"/>
      <c r="D221" s="73"/>
      <c r="E221" s="73"/>
      <c r="F221" s="73"/>
      <c r="G221" s="73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123"/>
      <c r="B222" s="33"/>
      <c r="C222" s="167"/>
      <c r="D222" s="73"/>
      <c r="E222" s="73"/>
      <c r="F222" s="73"/>
      <c r="G222" s="73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123"/>
      <c r="B223" s="33"/>
      <c r="C223" s="167"/>
      <c r="D223" s="73"/>
      <c r="E223" s="73"/>
      <c r="F223" s="73"/>
      <c r="G223" s="73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123"/>
      <c r="B224" s="33"/>
      <c r="C224" s="167"/>
      <c r="D224" s="73"/>
      <c r="E224" s="73"/>
      <c r="F224" s="73"/>
      <c r="G224" s="73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123"/>
      <c r="B225" s="33"/>
      <c r="C225" s="167"/>
      <c r="D225" s="73"/>
      <c r="E225" s="73"/>
      <c r="F225" s="73"/>
      <c r="G225" s="73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123"/>
      <c r="B226" s="33"/>
      <c r="C226" s="167"/>
      <c r="D226" s="73"/>
      <c r="E226" s="73"/>
      <c r="F226" s="73"/>
      <c r="G226" s="73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123"/>
      <c r="B227" s="33"/>
      <c r="C227" s="167"/>
      <c r="D227" s="73"/>
      <c r="E227" s="73"/>
      <c r="F227" s="73"/>
      <c r="G227" s="73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123"/>
      <c r="B228" s="33"/>
      <c r="C228" s="167"/>
      <c r="D228" s="73"/>
      <c r="E228" s="73"/>
      <c r="F228" s="73"/>
      <c r="G228" s="73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123"/>
      <c r="B229" s="33"/>
      <c r="C229" s="167"/>
      <c r="D229" s="73"/>
      <c r="E229" s="73"/>
      <c r="F229" s="73"/>
      <c r="G229" s="73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123"/>
      <c r="B230" s="33"/>
      <c r="C230" s="167"/>
      <c r="D230" s="73"/>
      <c r="E230" s="73"/>
      <c r="F230" s="73"/>
      <c r="G230" s="73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123"/>
      <c r="B231" s="33"/>
      <c r="C231" s="167"/>
      <c r="D231" s="73"/>
      <c r="E231" s="73"/>
      <c r="F231" s="73"/>
      <c r="G231" s="73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123"/>
      <c r="B232" s="33"/>
      <c r="C232" s="167"/>
      <c r="D232" s="73"/>
      <c r="E232" s="73"/>
      <c r="F232" s="73"/>
      <c r="G232" s="73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123"/>
      <c r="B233" s="33"/>
      <c r="C233" s="167"/>
      <c r="D233" s="73"/>
      <c r="E233" s="73"/>
      <c r="F233" s="73"/>
      <c r="G233" s="73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123"/>
      <c r="B234" s="33"/>
      <c r="C234" s="167"/>
      <c r="D234" s="73"/>
      <c r="E234" s="73"/>
      <c r="F234" s="73"/>
      <c r="G234" s="73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123"/>
      <c r="B235" s="33"/>
      <c r="C235" s="167"/>
      <c r="D235" s="73"/>
      <c r="E235" s="73"/>
      <c r="F235" s="73"/>
      <c r="G235" s="73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123"/>
      <c r="B236" s="33"/>
      <c r="C236" s="167"/>
      <c r="D236" s="73"/>
      <c r="E236" s="73"/>
      <c r="F236" s="73"/>
      <c r="G236" s="73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123"/>
      <c r="B237" s="33"/>
      <c r="C237" s="167"/>
      <c r="D237" s="73"/>
      <c r="E237" s="73"/>
      <c r="F237" s="73"/>
      <c r="G237" s="73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123"/>
      <c r="B238" s="33"/>
      <c r="C238" s="167"/>
      <c r="D238" s="73"/>
      <c r="E238" s="73"/>
      <c r="F238" s="73"/>
      <c r="G238" s="73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123"/>
      <c r="B239" s="33"/>
      <c r="C239" s="167"/>
      <c r="D239" s="73"/>
      <c r="E239" s="73"/>
      <c r="F239" s="73"/>
      <c r="G239" s="73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123"/>
      <c r="B240" s="33"/>
      <c r="C240" s="167"/>
      <c r="D240" s="73"/>
      <c r="E240" s="73"/>
      <c r="F240" s="73"/>
      <c r="G240" s="73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123"/>
      <c r="B241" s="33"/>
      <c r="C241" s="167"/>
      <c r="D241" s="73"/>
      <c r="E241" s="73"/>
      <c r="F241" s="73"/>
      <c r="G241" s="73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123"/>
      <c r="B242" s="33"/>
      <c r="C242" s="167"/>
      <c r="D242" s="73"/>
      <c r="E242" s="73"/>
      <c r="F242" s="73"/>
      <c r="G242" s="73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123"/>
      <c r="B243" s="33"/>
      <c r="C243" s="167"/>
      <c r="D243" s="73"/>
      <c r="E243" s="73"/>
      <c r="F243" s="73"/>
      <c r="G243" s="73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123"/>
      <c r="B244" s="33"/>
      <c r="C244" s="167"/>
      <c r="D244" s="73"/>
      <c r="E244" s="73"/>
      <c r="F244" s="73"/>
      <c r="G244" s="73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123"/>
      <c r="B245" s="33"/>
      <c r="C245" s="167"/>
      <c r="D245" s="73"/>
      <c r="E245" s="73"/>
      <c r="F245" s="73"/>
      <c r="G245" s="73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123"/>
      <c r="B246" s="33"/>
      <c r="C246" s="167"/>
      <c r="D246" s="73"/>
      <c r="E246" s="73"/>
      <c r="F246" s="73"/>
      <c r="G246" s="73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123"/>
      <c r="B247" s="33"/>
      <c r="C247" s="167"/>
      <c r="D247" s="73"/>
      <c r="E247" s="73"/>
      <c r="F247" s="73"/>
      <c r="G247" s="73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123"/>
      <c r="B248" s="33"/>
      <c r="C248" s="167"/>
      <c r="D248" s="73"/>
      <c r="E248" s="73"/>
      <c r="F248" s="73"/>
      <c r="G248" s="73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123"/>
      <c r="B249" s="33"/>
      <c r="C249" s="167"/>
      <c r="D249" s="73"/>
      <c r="E249" s="73"/>
      <c r="F249" s="73"/>
      <c r="G249" s="73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123"/>
      <c r="B250" s="33"/>
      <c r="C250" s="167"/>
      <c r="D250" s="73"/>
      <c r="E250" s="73"/>
      <c r="F250" s="73"/>
      <c r="G250" s="73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123"/>
      <c r="B251" s="33"/>
      <c r="C251" s="167"/>
      <c r="D251" s="73"/>
      <c r="E251" s="73"/>
      <c r="F251" s="73"/>
      <c r="G251" s="73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123"/>
      <c r="B252" s="33"/>
      <c r="C252" s="167"/>
      <c r="D252" s="73"/>
      <c r="E252" s="73"/>
      <c r="F252" s="73"/>
      <c r="G252" s="73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123"/>
      <c r="B253" s="33"/>
      <c r="C253" s="167"/>
      <c r="D253" s="73"/>
      <c r="E253" s="73"/>
      <c r="F253" s="73"/>
      <c r="G253" s="73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123"/>
      <c r="B254" s="33"/>
      <c r="C254" s="167"/>
      <c r="D254" s="73"/>
      <c r="E254" s="73"/>
      <c r="F254" s="73"/>
      <c r="G254" s="73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123"/>
      <c r="B255" s="33"/>
      <c r="C255" s="167"/>
      <c r="D255" s="73"/>
      <c r="E255" s="73"/>
      <c r="F255" s="73"/>
      <c r="G255" s="73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123"/>
      <c r="B256" s="33"/>
      <c r="C256" s="167"/>
      <c r="D256" s="73"/>
      <c r="E256" s="73"/>
      <c r="F256" s="73"/>
      <c r="G256" s="73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123"/>
      <c r="B257" s="33"/>
      <c r="C257" s="167"/>
      <c r="D257" s="73"/>
      <c r="E257" s="73"/>
      <c r="F257" s="73"/>
      <c r="G257" s="73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123"/>
      <c r="B258" s="33"/>
      <c r="C258" s="167"/>
      <c r="D258" s="73"/>
      <c r="E258" s="73"/>
      <c r="F258" s="73"/>
      <c r="G258" s="73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123"/>
      <c r="B259" s="33"/>
      <c r="C259" s="167"/>
      <c r="D259" s="73"/>
      <c r="E259" s="73"/>
      <c r="F259" s="73"/>
      <c r="G259" s="73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123"/>
      <c r="B260" s="33"/>
      <c r="C260" s="167"/>
      <c r="D260" s="73"/>
      <c r="E260" s="73"/>
      <c r="F260" s="73"/>
      <c r="G260" s="73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123"/>
      <c r="B261" s="33"/>
      <c r="C261" s="167"/>
      <c r="D261" s="73"/>
      <c r="E261" s="73"/>
      <c r="F261" s="73"/>
      <c r="G261" s="73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123"/>
      <c r="B262" s="33"/>
      <c r="C262" s="167"/>
      <c r="D262" s="73"/>
      <c r="E262" s="73"/>
      <c r="F262" s="73"/>
      <c r="G262" s="73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123"/>
      <c r="B263" s="33"/>
      <c r="C263" s="167"/>
      <c r="D263" s="73"/>
      <c r="E263" s="73"/>
      <c r="F263" s="73"/>
      <c r="G263" s="73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123"/>
      <c r="B264" s="33"/>
      <c r="C264" s="167"/>
      <c r="D264" s="73"/>
      <c r="E264" s="73"/>
      <c r="F264" s="73"/>
      <c r="G264" s="73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123"/>
      <c r="B265" s="33"/>
      <c r="C265" s="167"/>
      <c r="D265" s="73"/>
      <c r="E265" s="73"/>
      <c r="F265" s="73"/>
      <c r="G265" s="73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123"/>
      <c r="B266" s="33"/>
      <c r="C266" s="167"/>
      <c r="D266" s="73"/>
      <c r="E266" s="73"/>
      <c r="F266" s="73"/>
      <c r="G266" s="73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123"/>
      <c r="B267" s="33"/>
      <c r="C267" s="167"/>
      <c r="D267" s="73"/>
      <c r="E267" s="73"/>
      <c r="F267" s="73"/>
      <c r="G267" s="73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123"/>
      <c r="B268" s="33"/>
      <c r="C268" s="167"/>
      <c r="D268" s="73"/>
      <c r="E268" s="73"/>
      <c r="F268" s="73"/>
      <c r="G268" s="73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123"/>
      <c r="B269" s="33"/>
      <c r="C269" s="167"/>
      <c r="D269" s="73"/>
      <c r="E269" s="73"/>
      <c r="F269" s="73"/>
      <c r="G269" s="73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123"/>
      <c r="B270" s="33"/>
      <c r="C270" s="167"/>
      <c r="D270" s="73"/>
      <c r="E270" s="73"/>
      <c r="F270" s="73"/>
      <c r="G270" s="73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123"/>
      <c r="B271" s="33"/>
      <c r="C271" s="167"/>
      <c r="D271" s="73"/>
      <c r="E271" s="73"/>
      <c r="F271" s="73"/>
      <c r="G271" s="73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123"/>
      <c r="B272" s="33"/>
      <c r="C272" s="167"/>
      <c r="D272" s="73"/>
      <c r="E272" s="73"/>
      <c r="F272" s="73"/>
      <c r="G272" s="73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123"/>
      <c r="B273" s="33"/>
      <c r="C273" s="167"/>
      <c r="D273" s="73"/>
      <c r="E273" s="73"/>
      <c r="F273" s="73"/>
      <c r="G273" s="73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123"/>
      <c r="B274" s="33"/>
      <c r="C274" s="167"/>
      <c r="D274" s="73"/>
      <c r="E274" s="73"/>
      <c r="F274" s="73"/>
      <c r="G274" s="73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123"/>
      <c r="B275" s="33"/>
      <c r="C275" s="167"/>
      <c r="D275" s="73"/>
      <c r="E275" s="73"/>
      <c r="F275" s="73"/>
      <c r="G275" s="73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123"/>
      <c r="B276" s="33"/>
      <c r="C276" s="167"/>
      <c r="D276" s="73"/>
      <c r="E276" s="73"/>
      <c r="F276" s="73"/>
      <c r="G276" s="73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123"/>
      <c r="B277" s="33"/>
      <c r="C277" s="167"/>
      <c r="D277" s="73"/>
      <c r="E277" s="73"/>
      <c r="F277" s="73"/>
      <c r="G277" s="73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123"/>
      <c r="B278" s="33"/>
      <c r="C278" s="167"/>
      <c r="D278" s="73"/>
      <c r="E278" s="73"/>
      <c r="F278" s="73"/>
      <c r="G278" s="73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123"/>
      <c r="B279" s="33"/>
      <c r="C279" s="167"/>
      <c r="D279" s="73"/>
      <c r="E279" s="73"/>
      <c r="F279" s="73"/>
      <c r="G279" s="73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123"/>
      <c r="B280" s="33"/>
      <c r="C280" s="167"/>
      <c r="D280" s="73"/>
      <c r="E280" s="73"/>
      <c r="F280" s="73"/>
      <c r="G280" s="73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123"/>
      <c r="B281" s="33"/>
      <c r="C281" s="167"/>
      <c r="D281" s="73"/>
      <c r="E281" s="73"/>
      <c r="F281" s="73"/>
      <c r="G281" s="73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123"/>
      <c r="B282" s="33"/>
      <c r="C282" s="167"/>
      <c r="D282" s="73"/>
      <c r="E282" s="73"/>
      <c r="F282" s="73"/>
      <c r="G282" s="73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123"/>
      <c r="B283" s="33"/>
      <c r="C283" s="167"/>
      <c r="D283" s="73"/>
      <c r="E283" s="73"/>
      <c r="F283" s="73"/>
      <c r="G283" s="73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123"/>
      <c r="B284" s="33"/>
      <c r="C284" s="167"/>
      <c r="D284" s="73"/>
      <c r="E284" s="73"/>
      <c r="F284" s="73"/>
      <c r="G284" s="73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123"/>
      <c r="B285" s="33"/>
      <c r="C285" s="167"/>
      <c r="D285" s="73"/>
      <c r="E285" s="73"/>
      <c r="F285" s="73"/>
      <c r="G285" s="73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123"/>
      <c r="B286" s="33"/>
      <c r="C286" s="167"/>
      <c r="D286" s="73"/>
      <c r="E286" s="73"/>
      <c r="F286" s="73"/>
      <c r="G286" s="73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123"/>
      <c r="B287" s="33"/>
      <c r="C287" s="167"/>
      <c r="D287" s="73"/>
      <c r="E287" s="73"/>
      <c r="F287" s="73"/>
      <c r="G287" s="73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123"/>
      <c r="B288" s="33"/>
      <c r="C288" s="167"/>
      <c r="D288" s="73"/>
      <c r="E288" s="73"/>
      <c r="F288" s="73"/>
      <c r="G288" s="73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123"/>
      <c r="B289" s="33"/>
      <c r="C289" s="167"/>
      <c r="D289" s="73"/>
      <c r="E289" s="73"/>
      <c r="F289" s="73"/>
      <c r="G289" s="73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123"/>
      <c r="B290" s="33"/>
      <c r="C290" s="167"/>
      <c r="D290" s="73"/>
      <c r="E290" s="73"/>
      <c r="F290" s="73"/>
      <c r="G290" s="73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123"/>
      <c r="B291" s="33"/>
      <c r="C291" s="167"/>
      <c r="D291" s="73"/>
      <c r="E291" s="73"/>
      <c r="F291" s="73"/>
      <c r="G291" s="73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123"/>
      <c r="B292" s="33"/>
      <c r="C292" s="167"/>
      <c r="D292" s="73"/>
      <c r="E292" s="73"/>
      <c r="F292" s="73"/>
      <c r="G292" s="73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123"/>
      <c r="B293" s="33"/>
      <c r="C293" s="167"/>
      <c r="D293" s="73"/>
      <c r="E293" s="73"/>
      <c r="F293" s="73"/>
      <c r="G293" s="73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123"/>
      <c r="B294" s="33"/>
      <c r="C294" s="167"/>
      <c r="D294" s="73"/>
      <c r="E294" s="73"/>
      <c r="F294" s="73"/>
      <c r="G294" s="73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123"/>
      <c r="B295" s="33"/>
      <c r="C295" s="167"/>
      <c r="D295" s="73"/>
      <c r="E295" s="73"/>
      <c r="F295" s="73"/>
      <c r="G295" s="73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123"/>
      <c r="B296" s="33"/>
      <c r="C296" s="167"/>
      <c r="D296" s="73"/>
      <c r="E296" s="73"/>
      <c r="F296" s="73"/>
      <c r="G296" s="73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123"/>
      <c r="B297" s="33"/>
      <c r="C297" s="167"/>
      <c r="D297" s="73"/>
      <c r="E297" s="73"/>
      <c r="F297" s="73"/>
      <c r="G297" s="73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123"/>
      <c r="B298" s="33"/>
      <c r="C298" s="167"/>
      <c r="D298" s="73"/>
      <c r="E298" s="73"/>
      <c r="F298" s="73"/>
      <c r="G298" s="73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123"/>
      <c r="B299" s="33"/>
      <c r="C299" s="167"/>
      <c r="D299" s="73"/>
      <c r="E299" s="73"/>
      <c r="F299" s="73"/>
      <c r="G299" s="73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123"/>
      <c r="B300" s="33"/>
      <c r="C300" s="167"/>
      <c r="D300" s="73"/>
      <c r="E300" s="73"/>
      <c r="F300" s="73"/>
      <c r="G300" s="73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123"/>
      <c r="B301" s="33"/>
      <c r="C301" s="167"/>
      <c r="D301" s="73"/>
      <c r="E301" s="73"/>
      <c r="F301" s="73"/>
      <c r="G301" s="73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123"/>
      <c r="B302" s="33"/>
      <c r="C302" s="167"/>
      <c r="D302" s="73"/>
      <c r="E302" s="73"/>
      <c r="F302" s="73"/>
      <c r="G302" s="73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123"/>
      <c r="B303" s="33"/>
      <c r="C303" s="167"/>
      <c r="D303" s="73"/>
      <c r="E303" s="73"/>
      <c r="F303" s="73"/>
      <c r="G303" s="73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123"/>
      <c r="B304" s="33"/>
      <c r="C304" s="167"/>
      <c r="D304" s="73"/>
      <c r="E304" s="73"/>
      <c r="F304" s="73"/>
      <c r="G304" s="73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123"/>
      <c r="B305" s="33"/>
      <c r="C305" s="167"/>
      <c r="D305" s="73"/>
      <c r="E305" s="73"/>
      <c r="F305" s="73"/>
      <c r="G305" s="73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123"/>
      <c r="B306" s="33"/>
      <c r="C306" s="167"/>
      <c r="D306" s="73"/>
      <c r="E306" s="73"/>
      <c r="F306" s="73"/>
      <c r="G306" s="73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123"/>
      <c r="B307" s="33"/>
      <c r="C307" s="167"/>
      <c r="D307" s="73"/>
      <c r="E307" s="73"/>
      <c r="F307" s="73"/>
      <c r="G307" s="73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123"/>
      <c r="B308" s="33"/>
      <c r="C308" s="167"/>
      <c r="D308" s="73"/>
      <c r="E308" s="73"/>
      <c r="F308" s="73"/>
      <c r="G308" s="73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123"/>
      <c r="B309" s="33"/>
      <c r="C309" s="167"/>
      <c r="D309" s="73"/>
      <c r="E309" s="73"/>
      <c r="F309" s="73"/>
      <c r="G309" s="73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123"/>
      <c r="B310" s="33"/>
      <c r="C310" s="167"/>
      <c r="D310" s="73"/>
      <c r="E310" s="73"/>
      <c r="F310" s="73"/>
      <c r="G310" s="73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123"/>
      <c r="B311" s="33"/>
      <c r="C311" s="167"/>
      <c r="D311" s="73"/>
      <c r="E311" s="73"/>
      <c r="F311" s="73"/>
      <c r="G311" s="73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123"/>
      <c r="B312" s="33"/>
      <c r="C312" s="167"/>
      <c r="D312" s="73"/>
      <c r="E312" s="73"/>
      <c r="F312" s="73"/>
      <c r="G312" s="73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123"/>
      <c r="B313" s="33"/>
      <c r="C313" s="167"/>
      <c r="D313" s="73"/>
      <c r="E313" s="73"/>
      <c r="F313" s="73"/>
      <c r="G313" s="73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123"/>
      <c r="B314" s="33"/>
      <c r="C314" s="167"/>
      <c r="D314" s="73"/>
      <c r="E314" s="73"/>
      <c r="F314" s="73"/>
      <c r="G314" s="73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123"/>
      <c r="B315" s="33"/>
      <c r="C315" s="167"/>
      <c r="D315" s="73"/>
      <c r="E315" s="73"/>
      <c r="F315" s="73"/>
      <c r="G315" s="73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123"/>
      <c r="B316" s="33"/>
      <c r="C316" s="167"/>
      <c r="D316" s="73"/>
      <c r="E316" s="73"/>
      <c r="F316" s="73"/>
      <c r="G316" s="73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123"/>
      <c r="B317" s="33"/>
      <c r="C317" s="167"/>
      <c r="D317" s="73"/>
      <c r="E317" s="73"/>
      <c r="F317" s="73"/>
      <c r="G317" s="73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123"/>
      <c r="B318" s="33"/>
      <c r="C318" s="167"/>
      <c r="D318" s="73"/>
      <c r="E318" s="73"/>
      <c r="F318" s="73"/>
      <c r="G318" s="73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123"/>
      <c r="B319" s="33"/>
      <c r="C319" s="167"/>
      <c r="D319" s="73"/>
      <c r="E319" s="73"/>
      <c r="F319" s="73"/>
      <c r="G319" s="73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123"/>
      <c r="B320" s="33"/>
      <c r="C320" s="167"/>
      <c r="D320" s="73"/>
      <c r="E320" s="73"/>
      <c r="F320" s="73"/>
      <c r="G320" s="73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123"/>
      <c r="B321" s="33"/>
      <c r="C321" s="167"/>
      <c r="D321" s="73"/>
      <c r="E321" s="73"/>
      <c r="F321" s="73"/>
      <c r="G321" s="73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123"/>
      <c r="B322" s="33"/>
      <c r="C322" s="167"/>
      <c r="D322" s="73"/>
      <c r="E322" s="73"/>
      <c r="F322" s="73"/>
      <c r="G322" s="73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123"/>
      <c r="B323" s="33"/>
      <c r="C323" s="167"/>
      <c r="D323" s="73"/>
      <c r="E323" s="73"/>
      <c r="F323" s="73"/>
      <c r="G323" s="73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123"/>
      <c r="B324" s="33"/>
      <c r="C324" s="167"/>
      <c r="D324" s="73"/>
      <c r="E324" s="73"/>
      <c r="F324" s="73"/>
      <c r="G324" s="73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123"/>
      <c r="B325" s="33"/>
      <c r="C325" s="167"/>
      <c r="D325" s="73"/>
      <c r="E325" s="73"/>
      <c r="F325" s="73"/>
      <c r="G325" s="73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123"/>
      <c r="B326" s="33"/>
      <c r="C326" s="167"/>
      <c r="D326" s="73"/>
      <c r="E326" s="73"/>
      <c r="F326" s="73"/>
      <c r="G326" s="73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123"/>
      <c r="B327" s="33"/>
      <c r="C327" s="167"/>
      <c r="D327" s="73"/>
      <c r="E327" s="73"/>
      <c r="F327" s="73"/>
      <c r="G327" s="73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123"/>
      <c r="B328" s="33"/>
      <c r="C328" s="167"/>
      <c r="D328" s="73"/>
      <c r="E328" s="73"/>
      <c r="F328" s="73"/>
      <c r="G328" s="73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123"/>
      <c r="B329" s="33"/>
      <c r="C329" s="167"/>
      <c r="D329" s="73"/>
      <c r="E329" s="73"/>
      <c r="F329" s="73"/>
      <c r="G329" s="73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123"/>
      <c r="B330" s="33"/>
      <c r="C330" s="167"/>
      <c r="D330" s="73"/>
      <c r="E330" s="73"/>
      <c r="F330" s="73"/>
      <c r="G330" s="73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123"/>
      <c r="B331" s="33"/>
      <c r="C331" s="167"/>
      <c r="D331" s="73"/>
      <c r="E331" s="73"/>
      <c r="F331" s="73"/>
      <c r="G331" s="73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123"/>
      <c r="B332" s="33"/>
      <c r="C332" s="167"/>
      <c r="D332" s="73"/>
      <c r="E332" s="73"/>
      <c r="F332" s="73"/>
      <c r="G332" s="73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123"/>
      <c r="B333" s="33"/>
      <c r="C333" s="167"/>
      <c r="D333" s="73"/>
      <c r="E333" s="73"/>
      <c r="F333" s="73"/>
      <c r="G333" s="73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123"/>
      <c r="B334" s="33"/>
      <c r="C334" s="167"/>
      <c r="D334" s="73"/>
      <c r="E334" s="73"/>
      <c r="F334" s="73"/>
      <c r="G334" s="73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123"/>
      <c r="B335" s="33"/>
      <c r="C335" s="167"/>
      <c r="D335" s="73"/>
      <c r="E335" s="73"/>
      <c r="F335" s="73"/>
      <c r="G335" s="73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123"/>
      <c r="B336" s="33"/>
      <c r="C336" s="167"/>
      <c r="D336" s="73"/>
      <c r="E336" s="73"/>
      <c r="F336" s="73"/>
      <c r="G336" s="73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123"/>
      <c r="B337" s="33"/>
      <c r="C337" s="167"/>
      <c r="D337" s="73"/>
      <c r="E337" s="73"/>
      <c r="F337" s="73"/>
      <c r="G337" s="73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123"/>
      <c r="B338" s="33"/>
      <c r="C338" s="167"/>
      <c r="D338" s="73"/>
      <c r="E338" s="73"/>
      <c r="F338" s="73"/>
      <c r="G338" s="73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123"/>
      <c r="B339" s="33"/>
      <c r="C339" s="167"/>
      <c r="D339" s="73"/>
      <c r="E339" s="73"/>
      <c r="F339" s="73"/>
      <c r="G339" s="73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123"/>
      <c r="B340" s="33"/>
      <c r="C340" s="167"/>
      <c r="D340" s="73"/>
      <c r="E340" s="73"/>
      <c r="F340" s="73"/>
      <c r="G340" s="73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123"/>
      <c r="B341" s="33"/>
      <c r="C341" s="167"/>
      <c r="D341" s="73"/>
      <c r="E341" s="73"/>
      <c r="F341" s="73"/>
      <c r="G341" s="73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123"/>
      <c r="B342" s="33"/>
      <c r="C342" s="167"/>
      <c r="D342" s="73"/>
      <c r="E342" s="73"/>
      <c r="F342" s="73"/>
      <c r="G342" s="73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123"/>
      <c r="B343" s="33"/>
      <c r="C343" s="167"/>
      <c r="D343" s="73"/>
      <c r="E343" s="73"/>
      <c r="F343" s="73"/>
      <c r="G343" s="73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123"/>
      <c r="B344" s="33"/>
      <c r="C344" s="167"/>
      <c r="D344" s="73"/>
      <c r="E344" s="73"/>
      <c r="F344" s="73"/>
      <c r="G344" s="73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123"/>
      <c r="B345" s="33"/>
      <c r="C345" s="167"/>
      <c r="D345" s="73"/>
      <c r="E345" s="73"/>
      <c r="F345" s="73"/>
      <c r="G345" s="73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123"/>
      <c r="B346" s="33"/>
      <c r="C346" s="167"/>
      <c r="D346" s="73"/>
      <c r="E346" s="73"/>
      <c r="F346" s="73"/>
      <c r="G346" s="73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123"/>
      <c r="B347" s="33"/>
      <c r="C347" s="167"/>
      <c r="D347" s="73"/>
      <c r="E347" s="73"/>
      <c r="F347" s="73"/>
      <c r="G347" s="73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123"/>
      <c r="B348" s="33"/>
      <c r="C348" s="167"/>
      <c r="D348" s="73"/>
      <c r="E348" s="73"/>
      <c r="F348" s="73"/>
      <c r="G348" s="73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123"/>
      <c r="B349" s="33"/>
      <c r="C349" s="167"/>
      <c r="D349" s="73"/>
      <c r="E349" s="73"/>
      <c r="F349" s="73"/>
      <c r="G349" s="73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123"/>
      <c r="B350" s="33"/>
      <c r="C350" s="167"/>
      <c r="D350" s="73"/>
      <c r="E350" s="73"/>
      <c r="F350" s="73"/>
      <c r="G350" s="73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123"/>
      <c r="B351" s="33"/>
      <c r="C351" s="167"/>
      <c r="D351" s="73"/>
      <c r="E351" s="73"/>
      <c r="F351" s="73"/>
      <c r="G351" s="73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123"/>
      <c r="B352" s="33"/>
      <c r="C352" s="167"/>
      <c r="D352" s="73"/>
      <c r="E352" s="73"/>
      <c r="F352" s="73"/>
      <c r="G352" s="73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123"/>
      <c r="B353" s="33"/>
      <c r="C353" s="167"/>
      <c r="D353" s="73"/>
      <c r="E353" s="73"/>
      <c r="F353" s="73"/>
      <c r="G353" s="73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123"/>
      <c r="B354" s="33"/>
      <c r="C354" s="167"/>
      <c r="D354" s="73"/>
      <c r="E354" s="73"/>
      <c r="F354" s="73"/>
      <c r="G354" s="73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123"/>
      <c r="B355" s="33"/>
      <c r="C355" s="167"/>
      <c r="D355" s="73"/>
      <c r="E355" s="73"/>
      <c r="F355" s="73"/>
      <c r="G355" s="73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123"/>
      <c r="B356" s="33"/>
      <c r="C356" s="167"/>
      <c r="D356" s="73"/>
      <c r="E356" s="73"/>
      <c r="F356" s="73"/>
      <c r="G356" s="73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123"/>
      <c r="B357" s="33"/>
      <c r="C357" s="167"/>
      <c r="D357" s="73"/>
      <c r="E357" s="73"/>
      <c r="F357" s="73"/>
      <c r="G357" s="73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123"/>
      <c r="B358" s="33"/>
      <c r="C358" s="167"/>
      <c r="D358" s="73"/>
      <c r="E358" s="73"/>
      <c r="F358" s="73"/>
      <c r="G358" s="73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123"/>
      <c r="B359" s="33"/>
      <c r="C359" s="167"/>
      <c r="D359" s="73"/>
      <c r="E359" s="73"/>
      <c r="F359" s="73"/>
      <c r="G359" s="73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123"/>
      <c r="B360" s="33"/>
      <c r="C360" s="167"/>
      <c r="D360" s="73"/>
      <c r="E360" s="73"/>
      <c r="F360" s="73"/>
      <c r="G360" s="73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123"/>
      <c r="B361" s="33"/>
      <c r="C361" s="167"/>
      <c r="D361" s="73"/>
      <c r="E361" s="73"/>
      <c r="F361" s="73"/>
      <c r="G361" s="73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123"/>
      <c r="B362" s="33"/>
      <c r="C362" s="167"/>
      <c r="D362" s="73"/>
      <c r="E362" s="73"/>
      <c r="F362" s="73"/>
      <c r="G362" s="73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123"/>
      <c r="B363" s="33"/>
      <c r="C363" s="167"/>
      <c r="D363" s="73"/>
      <c r="E363" s="73"/>
      <c r="F363" s="73"/>
      <c r="G363" s="73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123"/>
      <c r="B364" s="33"/>
      <c r="C364" s="167"/>
      <c r="D364" s="73"/>
      <c r="E364" s="73"/>
      <c r="F364" s="73"/>
      <c r="G364" s="73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123"/>
      <c r="B365" s="33"/>
      <c r="C365" s="167"/>
      <c r="D365" s="73"/>
      <c r="E365" s="73"/>
      <c r="F365" s="73"/>
      <c r="G365" s="73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123"/>
      <c r="B366" s="33"/>
      <c r="C366" s="167"/>
      <c r="D366" s="73"/>
      <c r="E366" s="73"/>
      <c r="F366" s="73"/>
      <c r="G366" s="73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123"/>
      <c r="B367" s="33"/>
      <c r="C367" s="167"/>
      <c r="D367" s="73"/>
      <c r="E367" s="73"/>
      <c r="F367" s="73"/>
      <c r="G367" s="73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123"/>
      <c r="B368" s="33"/>
      <c r="C368" s="167"/>
      <c r="D368" s="73"/>
      <c r="E368" s="73"/>
      <c r="F368" s="73"/>
      <c r="G368" s="73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123"/>
      <c r="B369" s="33"/>
      <c r="C369" s="167"/>
      <c r="D369" s="73"/>
      <c r="E369" s="73"/>
      <c r="F369" s="73"/>
      <c r="G369" s="73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123"/>
      <c r="B370" s="33"/>
      <c r="C370" s="167"/>
      <c r="D370" s="73"/>
      <c r="E370" s="73"/>
      <c r="F370" s="73"/>
      <c r="G370" s="73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123"/>
      <c r="B371" s="33"/>
      <c r="C371" s="167"/>
      <c r="D371" s="73"/>
      <c r="E371" s="73"/>
      <c r="F371" s="73"/>
      <c r="G371" s="73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123"/>
      <c r="B372" s="33"/>
      <c r="C372" s="167"/>
      <c r="D372" s="73"/>
      <c r="E372" s="73"/>
      <c r="F372" s="73"/>
      <c r="G372" s="73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123"/>
      <c r="B373" s="33"/>
      <c r="C373" s="167"/>
      <c r="D373" s="73"/>
      <c r="E373" s="73"/>
      <c r="F373" s="73"/>
      <c r="G373" s="73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123"/>
      <c r="B374" s="33"/>
      <c r="C374" s="167"/>
      <c r="D374" s="73"/>
      <c r="E374" s="73"/>
      <c r="F374" s="73"/>
      <c r="G374" s="73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123"/>
      <c r="B375" s="33"/>
      <c r="C375" s="167"/>
      <c r="D375" s="73"/>
      <c r="E375" s="73"/>
      <c r="F375" s="73"/>
      <c r="G375" s="73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123"/>
      <c r="B376" s="33"/>
      <c r="C376" s="167"/>
      <c r="D376" s="73"/>
      <c r="E376" s="73"/>
      <c r="F376" s="73"/>
      <c r="G376" s="73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123"/>
      <c r="B377" s="33"/>
      <c r="C377" s="167"/>
      <c r="D377" s="73"/>
      <c r="E377" s="73"/>
      <c r="F377" s="73"/>
      <c r="G377" s="73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123"/>
      <c r="B378" s="33"/>
      <c r="C378" s="167"/>
      <c r="D378" s="73"/>
      <c r="E378" s="73"/>
      <c r="F378" s="73"/>
      <c r="G378" s="73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123"/>
      <c r="B379" s="33"/>
      <c r="C379" s="167"/>
      <c r="D379" s="73"/>
      <c r="E379" s="73"/>
      <c r="F379" s="73"/>
      <c r="G379" s="73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123"/>
      <c r="B380" s="33"/>
      <c r="C380" s="167"/>
      <c r="D380" s="73"/>
      <c r="E380" s="73"/>
      <c r="F380" s="73"/>
      <c r="G380" s="73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123"/>
      <c r="B381" s="33"/>
      <c r="C381" s="167"/>
      <c r="D381" s="73"/>
      <c r="E381" s="73"/>
      <c r="F381" s="73"/>
      <c r="G381" s="73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123"/>
      <c r="B382" s="33"/>
      <c r="C382" s="167"/>
      <c r="D382" s="73"/>
      <c r="E382" s="73"/>
      <c r="F382" s="73"/>
      <c r="G382" s="73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123"/>
      <c r="B383" s="33"/>
      <c r="C383" s="167"/>
      <c r="D383" s="73"/>
      <c r="E383" s="73"/>
      <c r="F383" s="73"/>
      <c r="G383" s="73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123"/>
      <c r="B384" s="33"/>
      <c r="C384" s="167"/>
      <c r="D384" s="73"/>
      <c r="E384" s="73"/>
      <c r="F384" s="73"/>
      <c r="G384" s="73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123"/>
      <c r="B385" s="33"/>
      <c r="C385" s="167"/>
      <c r="D385" s="73"/>
      <c r="E385" s="73"/>
      <c r="F385" s="73"/>
      <c r="G385" s="73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123"/>
      <c r="B386" s="33"/>
      <c r="C386" s="167"/>
      <c r="D386" s="73"/>
      <c r="E386" s="73"/>
      <c r="F386" s="73"/>
      <c r="G386" s="73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123"/>
      <c r="B387" s="33"/>
      <c r="C387" s="167"/>
      <c r="D387" s="73"/>
      <c r="E387" s="73"/>
      <c r="F387" s="73"/>
      <c r="G387" s="73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123"/>
      <c r="B388" s="33"/>
      <c r="C388" s="167"/>
      <c r="D388" s="73"/>
      <c r="E388" s="73"/>
      <c r="F388" s="73"/>
      <c r="G388" s="73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123"/>
      <c r="B389" s="33"/>
      <c r="C389" s="167"/>
      <c r="D389" s="73"/>
      <c r="E389" s="73"/>
      <c r="F389" s="73"/>
      <c r="G389" s="73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123"/>
      <c r="B390" s="33"/>
      <c r="C390" s="167"/>
      <c r="D390" s="73"/>
      <c r="E390" s="73"/>
      <c r="F390" s="73"/>
      <c r="G390" s="73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123"/>
      <c r="B391" s="33"/>
      <c r="C391" s="167"/>
      <c r="D391" s="73"/>
      <c r="E391" s="73"/>
      <c r="F391" s="73"/>
      <c r="G391" s="73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123"/>
      <c r="B392" s="33"/>
      <c r="C392" s="167"/>
      <c r="D392" s="73"/>
      <c r="E392" s="73"/>
      <c r="F392" s="73"/>
      <c r="G392" s="73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123"/>
      <c r="B393" s="33"/>
      <c r="C393" s="167"/>
      <c r="D393" s="73"/>
      <c r="E393" s="73"/>
      <c r="F393" s="73"/>
      <c r="G393" s="73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123"/>
      <c r="B394" s="33"/>
      <c r="C394" s="167"/>
      <c r="D394" s="73"/>
      <c r="E394" s="73"/>
      <c r="F394" s="73"/>
      <c r="G394" s="73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123"/>
      <c r="B395" s="33"/>
      <c r="C395" s="167"/>
      <c r="D395" s="73"/>
      <c r="E395" s="73"/>
      <c r="F395" s="73"/>
      <c r="G395" s="73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123"/>
      <c r="B396" s="33"/>
      <c r="C396" s="167"/>
      <c r="D396" s="73"/>
      <c r="E396" s="73"/>
      <c r="F396" s="73"/>
      <c r="G396" s="73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123"/>
      <c r="B397" s="33"/>
      <c r="C397" s="167"/>
      <c r="D397" s="73"/>
      <c r="E397" s="73"/>
      <c r="F397" s="73"/>
      <c r="G397" s="73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123"/>
      <c r="B398" s="33"/>
      <c r="C398" s="167"/>
      <c r="D398" s="73"/>
      <c r="E398" s="73"/>
      <c r="F398" s="73"/>
      <c r="G398" s="73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123"/>
      <c r="B399" s="33"/>
      <c r="C399" s="167"/>
      <c r="D399" s="73"/>
      <c r="E399" s="73"/>
      <c r="F399" s="73"/>
      <c r="G399" s="73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123"/>
      <c r="B400" s="33"/>
      <c r="C400" s="167"/>
      <c r="D400" s="73"/>
      <c r="E400" s="73"/>
      <c r="F400" s="73"/>
      <c r="G400" s="73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123"/>
      <c r="B401" s="33"/>
      <c r="C401" s="167"/>
      <c r="D401" s="73"/>
      <c r="E401" s="73"/>
      <c r="F401" s="73"/>
      <c r="G401" s="73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123"/>
      <c r="B402" s="33"/>
      <c r="C402" s="167"/>
      <c r="D402" s="73"/>
      <c r="E402" s="73"/>
      <c r="F402" s="73"/>
      <c r="G402" s="73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123"/>
      <c r="B403" s="33"/>
      <c r="C403" s="167"/>
      <c r="D403" s="73"/>
      <c r="E403" s="73"/>
      <c r="F403" s="73"/>
      <c r="G403" s="73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123"/>
      <c r="B404" s="33"/>
      <c r="C404" s="167"/>
      <c r="D404" s="73"/>
      <c r="E404" s="73"/>
      <c r="F404" s="73"/>
      <c r="G404" s="73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123"/>
      <c r="B405" s="33"/>
      <c r="C405" s="167"/>
      <c r="D405" s="73"/>
      <c r="E405" s="73"/>
      <c r="F405" s="73"/>
      <c r="G405" s="73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123"/>
      <c r="B406" s="33"/>
      <c r="C406" s="167"/>
      <c r="D406" s="73"/>
      <c r="E406" s="73"/>
      <c r="F406" s="73"/>
      <c r="G406" s="73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123"/>
      <c r="B407" s="33"/>
      <c r="C407" s="167"/>
      <c r="D407" s="73"/>
      <c r="E407" s="73"/>
      <c r="F407" s="73"/>
      <c r="G407" s="73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123"/>
      <c r="B408" s="33"/>
      <c r="C408" s="167"/>
      <c r="D408" s="73"/>
      <c r="E408" s="73"/>
      <c r="F408" s="73"/>
      <c r="G408" s="73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123"/>
      <c r="B409" s="33"/>
      <c r="C409" s="167"/>
      <c r="D409" s="73"/>
      <c r="E409" s="73"/>
      <c r="F409" s="73"/>
      <c r="G409" s="73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123"/>
      <c r="B410" s="33"/>
      <c r="C410" s="167"/>
      <c r="D410" s="73"/>
      <c r="E410" s="73"/>
      <c r="F410" s="73"/>
      <c r="G410" s="73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123"/>
      <c r="B411" s="33"/>
      <c r="C411" s="167"/>
      <c r="D411" s="73"/>
      <c r="E411" s="73"/>
      <c r="F411" s="73"/>
      <c r="G411" s="73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123"/>
      <c r="B412" s="33"/>
      <c r="C412" s="167"/>
      <c r="D412" s="73"/>
      <c r="E412" s="73"/>
      <c r="F412" s="73"/>
      <c r="G412" s="73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123"/>
      <c r="B413" s="33"/>
      <c r="C413" s="167"/>
      <c r="D413" s="73"/>
      <c r="E413" s="73"/>
      <c r="F413" s="73"/>
      <c r="G413" s="73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123"/>
      <c r="B414" s="33"/>
      <c r="C414" s="167"/>
      <c r="D414" s="73"/>
      <c r="E414" s="73"/>
      <c r="F414" s="73"/>
      <c r="G414" s="73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123"/>
      <c r="B415" s="33"/>
      <c r="C415" s="167"/>
      <c r="D415" s="73"/>
      <c r="E415" s="73"/>
      <c r="F415" s="73"/>
      <c r="G415" s="73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123"/>
      <c r="B416" s="33"/>
      <c r="C416" s="167"/>
      <c r="D416" s="73"/>
      <c r="E416" s="73"/>
      <c r="F416" s="73"/>
      <c r="G416" s="73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123"/>
      <c r="B417" s="33"/>
      <c r="C417" s="167"/>
      <c r="D417" s="73"/>
      <c r="E417" s="73"/>
      <c r="F417" s="73"/>
      <c r="G417" s="73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123"/>
      <c r="B418" s="33"/>
      <c r="C418" s="167"/>
      <c r="D418" s="73"/>
      <c r="E418" s="73"/>
      <c r="F418" s="73"/>
      <c r="G418" s="73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123"/>
      <c r="B419" s="33"/>
      <c r="C419" s="167"/>
      <c r="D419" s="73"/>
      <c r="E419" s="73"/>
      <c r="F419" s="73"/>
      <c r="G419" s="73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123"/>
      <c r="B420" s="33"/>
      <c r="C420" s="167"/>
      <c r="D420" s="73"/>
      <c r="E420" s="73"/>
      <c r="F420" s="73"/>
      <c r="G420" s="73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123"/>
      <c r="B421" s="33"/>
      <c r="C421" s="167"/>
      <c r="D421" s="73"/>
      <c r="E421" s="73"/>
      <c r="F421" s="73"/>
      <c r="G421" s="73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123"/>
      <c r="B422" s="33"/>
      <c r="C422" s="167"/>
      <c r="D422" s="73"/>
      <c r="E422" s="73"/>
      <c r="F422" s="73"/>
      <c r="G422" s="73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123"/>
      <c r="B423" s="33"/>
      <c r="C423" s="167"/>
      <c r="D423" s="73"/>
      <c r="E423" s="73"/>
      <c r="F423" s="73"/>
      <c r="G423" s="73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123"/>
      <c r="B424" s="33"/>
      <c r="C424" s="167"/>
      <c r="D424" s="73"/>
      <c r="E424" s="73"/>
      <c r="F424" s="73"/>
      <c r="G424" s="73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123"/>
      <c r="B425" s="33"/>
      <c r="C425" s="167"/>
      <c r="D425" s="73"/>
      <c r="E425" s="73"/>
      <c r="F425" s="73"/>
      <c r="G425" s="73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123"/>
      <c r="B426" s="33"/>
      <c r="C426" s="167"/>
      <c r="D426" s="73"/>
      <c r="E426" s="73"/>
      <c r="F426" s="73"/>
      <c r="G426" s="73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123"/>
      <c r="B427" s="33"/>
      <c r="C427" s="167"/>
      <c r="D427" s="73"/>
      <c r="E427" s="73"/>
      <c r="F427" s="73"/>
      <c r="G427" s="73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123"/>
      <c r="B428" s="33"/>
      <c r="C428" s="167"/>
      <c r="D428" s="73"/>
      <c r="E428" s="73"/>
      <c r="F428" s="73"/>
      <c r="G428" s="73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123"/>
      <c r="B429" s="33"/>
      <c r="C429" s="167"/>
      <c r="D429" s="73"/>
      <c r="E429" s="73"/>
      <c r="F429" s="73"/>
      <c r="G429" s="73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123"/>
      <c r="B430" s="33"/>
      <c r="C430" s="167"/>
      <c r="D430" s="73"/>
      <c r="E430" s="73"/>
      <c r="F430" s="73"/>
      <c r="G430" s="73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123"/>
      <c r="B431" s="33"/>
      <c r="C431" s="167"/>
      <c r="D431" s="73"/>
      <c r="E431" s="73"/>
      <c r="F431" s="73"/>
      <c r="G431" s="73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123"/>
      <c r="B432" s="33"/>
      <c r="C432" s="167"/>
      <c r="D432" s="73"/>
      <c r="E432" s="73"/>
      <c r="F432" s="73"/>
      <c r="G432" s="73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123"/>
      <c r="B433" s="33"/>
      <c r="C433" s="167"/>
      <c r="D433" s="73"/>
      <c r="E433" s="73"/>
      <c r="F433" s="73"/>
      <c r="G433" s="73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123"/>
      <c r="B434" s="33"/>
      <c r="C434" s="167"/>
      <c r="D434" s="73"/>
      <c r="E434" s="73"/>
      <c r="F434" s="73"/>
      <c r="G434" s="73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123"/>
      <c r="B435" s="33"/>
      <c r="C435" s="167"/>
      <c r="D435" s="73"/>
      <c r="E435" s="73"/>
      <c r="F435" s="73"/>
      <c r="G435" s="73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123"/>
      <c r="B436" s="33"/>
      <c r="C436" s="167"/>
      <c r="D436" s="73"/>
      <c r="E436" s="73"/>
      <c r="F436" s="73"/>
      <c r="G436" s="73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123"/>
      <c r="B437" s="33"/>
      <c r="C437" s="167"/>
      <c r="D437" s="73"/>
      <c r="E437" s="73"/>
      <c r="F437" s="73"/>
      <c r="G437" s="73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123"/>
      <c r="B438" s="33"/>
      <c r="C438" s="167"/>
      <c r="D438" s="73"/>
      <c r="E438" s="73"/>
      <c r="F438" s="73"/>
      <c r="G438" s="73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123"/>
      <c r="B439" s="33"/>
      <c r="C439" s="167"/>
      <c r="D439" s="73"/>
      <c r="E439" s="73"/>
      <c r="F439" s="73"/>
      <c r="G439" s="73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123"/>
      <c r="B440" s="33"/>
      <c r="C440" s="167"/>
      <c r="D440" s="73"/>
      <c r="E440" s="73"/>
      <c r="F440" s="73"/>
      <c r="G440" s="73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123"/>
      <c r="B441" s="33"/>
      <c r="C441" s="167"/>
      <c r="D441" s="73"/>
      <c r="E441" s="73"/>
      <c r="F441" s="73"/>
      <c r="G441" s="73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123"/>
      <c r="B442" s="33"/>
      <c r="C442" s="167"/>
      <c r="D442" s="73"/>
      <c r="E442" s="73"/>
      <c r="F442" s="73"/>
      <c r="G442" s="73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123"/>
      <c r="B443" s="33"/>
      <c r="C443" s="167"/>
      <c r="D443" s="73"/>
      <c r="E443" s="73"/>
      <c r="F443" s="73"/>
      <c r="G443" s="73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123"/>
      <c r="B444" s="33"/>
      <c r="C444" s="167"/>
      <c r="D444" s="73"/>
      <c r="E444" s="73"/>
      <c r="F444" s="73"/>
      <c r="G444" s="73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123"/>
      <c r="B445" s="33"/>
      <c r="C445" s="167"/>
      <c r="D445" s="73"/>
      <c r="E445" s="73"/>
      <c r="F445" s="73"/>
      <c r="G445" s="73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123"/>
      <c r="B446" s="33"/>
      <c r="C446" s="167"/>
      <c r="D446" s="73"/>
      <c r="E446" s="73"/>
      <c r="F446" s="73"/>
      <c r="G446" s="73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123"/>
      <c r="B447" s="33"/>
      <c r="C447" s="167"/>
      <c r="D447" s="73"/>
      <c r="E447" s="73"/>
      <c r="F447" s="73"/>
      <c r="G447" s="73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123"/>
      <c r="B448" s="33"/>
      <c r="C448" s="167"/>
      <c r="D448" s="73"/>
      <c r="E448" s="73"/>
      <c r="F448" s="73"/>
      <c r="G448" s="73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123"/>
      <c r="B449" s="33"/>
      <c r="C449" s="167"/>
      <c r="D449" s="73"/>
      <c r="E449" s="73"/>
      <c r="F449" s="73"/>
      <c r="G449" s="73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123"/>
      <c r="B450" s="33"/>
      <c r="C450" s="167"/>
      <c r="D450" s="73"/>
      <c r="E450" s="73"/>
      <c r="F450" s="73"/>
      <c r="G450" s="73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123"/>
      <c r="B451" s="33"/>
      <c r="C451" s="167"/>
      <c r="D451" s="73"/>
      <c r="E451" s="73"/>
      <c r="F451" s="73"/>
      <c r="G451" s="73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123"/>
      <c r="B452" s="33"/>
      <c r="C452" s="167"/>
      <c r="D452" s="73"/>
      <c r="E452" s="73"/>
      <c r="F452" s="73"/>
      <c r="G452" s="73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123"/>
      <c r="B453" s="33"/>
      <c r="C453" s="167"/>
      <c r="D453" s="73"/>
      <c r="E453" s="73"/>
      <c r="F453" s="73"/>
      <c r="G453" s="73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123"/>
      <c r="B454" s="33"/>
      <c r="C454" s="167"/>
      <c r="D454" s="73"/>
      <c r="E454" s="73"/>
      <c r="F454" s="73"/>
      <c r="G454" s="73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123"/>
      <c r="B455" s="33"/>
      <c r="C455" s="167"/>
      <c r="D455" s="73"/>
      <c r="E455" s="73"/>
      <c r="F455" s="73"/>
      <c r="G455" s="73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123"/>
      <c r="B456" s="33"/>
      <c r="C456" s="167"/>
      <c r="D456" s="73"/>
      <c r="E456" s="73"/>
      <c r="F456" s="73"/>
      <c r="G456" s="73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123"/>
      <c r="B457" s="33"/>
      <c r="C457" s="167"/>
      <c r="D457" s="73"/>
      <c r="E457" s="73"/>
      <c r="F457" s="73"/>
      <c r="G457" s="73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123"/>
      <c r="B458" s="33"/>
      <c r="C458" s="167"/>
      <c r="D458" s="73"/>
      <c r="E458" s="73"/>
      <c r="F458" s="73"/>
      <c r="G458" s="73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123"/>
      <c r="B459" s="33"/>
      <c r="C459" s="167"/>
      <c r="D459" s="73"/>
      <c r="E459" s="73"/>
      <c r="F459" s="73"/>
      <c r="G459" s="73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123"/>
      <c r="B460" s="33"/>
      <c r="C460" s="167"/>
      <c r="D460" s="73"/>
      <c r="E460" s="73"/>
      <c r="F460" s="73"/>
      <c r="G460" s="73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123"/>
      <c r="B461" s="33"/>
      <c r="C461" s="167"/>
      <c r="D461" s="73"/>
      <c r="E461" s="73"/>
      <c r="F461" s="73"/>
      <c r="G461" s="73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123"/>
      <c r="B462" s="33"/>
      <c r="C462" s="167"/>
      <c r="D462" s="73"/>
      <c r="E462" s="73"/>
      <c r="F462" s="73"/>
      <c r="G462" s="73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123"/>
      <c r="B463" s="33"/>
      <c r="C463" s="167"/>
      <c r="D463" s="73"/>
      <c r="E463" s="73"/>
      <c r="F463" s="73"/>
      <c r="G463" s="73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123"/>
      <c r="B464" s="33"/>
      <c r="C464" s="167"/>
      <c r="D464" s="73"/>
      <c r="E464" s="73"/>
      <c r="F464" s="73"/>
      <c r="G464" s="73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123"/>
      <c r="B465" s="33"/>
      <c r="C465" s="167"/>
      <c r="D465" s="73"/>
      <c r="E465" s="73"/>
      <c r="F465" s="73"/>
      <c r="G465" s="73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123"/>
      <c r="B466" s="33"/>
      <c r="C466" s="167"/>
      <c r="D466" s="73"/>
      <c r="E466" s="73"/>
      <c r="F466" s="73"/>
      <c r="G466" s="73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123"/>
      <c r="B467" s="33"/>
      <c r="C467" s="167"/>
      <c r="D467" s="73"/>
      <c r="E467" s="73"/>
      <c r="F467" s="73"/>
      <c r="G467" s="73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123"/>
      <c r="B468" s="33"/>
      <c r="C468" s="167"/>
      <c r="D468" s="73"/>
      <c r="E468" s="73"/>
      <c r="F468" s="73"/>
      <c r="G468" s="73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123"/>
      <c r="B469" s="33"/>
      <c r="C469" s="167"/>
      <c r="D469" s="73"/>
      <c r="E469" s="73"/>
      <c r="F469" s="73"/>
      <c r="G469" s="73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123"/>
      <c r="B470" s="33"/>
      <c r="C470" s="167"/>
      <c r="D470" s="73"/>
      <c r="E470" s="73"/>
      <c r="F470" s="73"/>
      <c r="G470" s="73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123"/>
      <c r="B471" s="33"/>
      <c r="C471" s="167"/>
      <c r="D471" s="73"/>
      <c r="E471" s="73"/>
      <c r="F471" s="73"/>
      <c r="G471" s="73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123"/>
      <c r="B472" s="33"/>
      <c r="C472" s="167"/>
      <c r="D472" s="73"/>
      <c r="E472" s="73"/>
      <c r="F472" s="73"/>
      <c r="G472" s="73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123"/>
      <c r="B473" s="33"/>
      <c r="C473" s="167"/>
      <c r="D473" s="73"/>
      <c r="E473" s="73"/>
      <c r="F473" s="73"/>
      <c r="G473" s="73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123"/>
      <c r="B474" s="33"/>
      <c r="C474" s="167"/>
      <c r="D474" s="73"/>
      <c r="E474" s="73"/>
      <c r="F474" s="73"/>
      <c r="G474" s="73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123"/>
      <c r="B475" s="33"/>
      <c r="C475" s="167"/>
      <c r="D475" s="73"/>
      <c r="E475" s="73"/>
      <c r="F475" s="73"/>
      <c r="G475" s="73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123"/>
      <c r="B476" s="33"/>
      <c r="C476" s="167"/>
      <c r="D476" s="73"/>
      <c r="E476" s="73"/>
      <c r="F476" s="73"/>
      <c r="G476" s="73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123"/>
      <c r="B477" s="33"/>
      <c r="C477" s="167"/>
      <c r="D477" s="73"/>
      <c r="E477" s="73"/>
      <c r="F477" s="73"/>
      <c r="G477" s="73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123"/>
      <c r="B478" s="33"/>
      <c r="C478" s="167"/>
      <c r="D478" s="73"/>
      <c r="E478" s="73"/>
      <c r="F478" s="73"/>
      <c r="G478" s="73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123"/>
      <c r="B479" s="33"/>
      <c r="C479" s="167"/>
      <c r="D479" s="73"/>
      <c r="E479" s="73"/>
      <c r="F479" s="73"/>
      <c r="G479" s="73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123"/>
      <c r="B480" s="33"/>
      <c r="C480" s="167"/>
      <c r="D480" s="73"/>
      <c r="E480" s="73"/>
      <c r="F480" s="73"/>
      <c r="G480" s="73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123"/>
      <c r="B481" s="33"/>
      <c r="C481" s="167"/>
      <c r="D481" s="73"/>
      <c r="E481" s="73"/>
      <c r="F481" s="73"/>
      <c r="G481" s="73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123"/>
      <c r="B482" s="33"/>
      <c r="C482" s="167"/>
      <c r="D482" s="73"/>
      <c r="E482" s="73"/>
      <c r="F482" s="73"/>
      <c r="G482" s="73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123"/>
      <c r="B483" s="33"/>
      <c r="C483" s="167"/>
      <c r="D483" s="73"/>
      <c r="E483" s="73"/>
      <c r="F483" s="73"/>
      <c r="G483" s="73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123"/>
      <c r="B484" s="33"/>
      <c r="C484" s="167"/>
      <c r="D484" s="73"/>
      <c r="E484" s="73"/>
      <c r="F484" s="73"/>
      <c r="G484" s="73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123"/>
      <c r="B485" s="33"/>
      <c r="C485" s="167"/>
      <c r="D485" s="73"/>
      <c r="E485" s="73"/>
      <c r="F485" s="73"/>
      <c r="G485" s="73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123"/>
      <c r="B486" s="33"/>
      <c r="C486" s="167"/>
      <c r="D486" s="73"/>
      <c r="E486" s="73"/>
      <c r="F486" s="73"/>
      <c r="G486" s="73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123"/>
      <c r="B487" s="33"/>
      <c r="C487" s="167"/>
      <c r="D487" s="73"/>
      <c r="E487" s="73"/>
      <c r="F487" s="73"/>
      <c r="G487" s="73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123"/>
      <c r="B488" s="33"/>
      <c r="C488" s="167"/>
      <c r="D488" s="73"/>
      <c r="E488" s="73"/>
      <c r="F488" s="73"/>
      <c r="G488" s="73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123"/>
      <c r="B489" s="33"/>
      <c r="C489" s="167"/>
      <c r="D489" s="73"/>
      <c r="E489" s="73"/>
      <c r="F489" s="73"/>
      <c r="G489" s="73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123"/>
      <c r="B490" s="33"/>
      <c r="C490" s="167"/>
      <c r="D490" s="73"/>
      <c r="E490" s="73"/>
      <c r="F490" s="73"/>
      <c r="G490" s="73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123"/>
      <c r="B491" s="33"/>
      <c r="C491" s="167"/>
      <c r="D491" s="73"/>
      <c r="E491" s="73"/>
      <c r="F491" s="73"/>
      <c r="G491" s="73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123"/>
      <c r="B492" s="33"/>
      <c r="C492" s="167"/>
      <c r="D492" s="73"/>
      <c r="E492" s="73"/>
      <c r="F492" s="73"/>
      <c r="G492" s="73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123"/>
      <c r="B493" s="33"/>
      <c r="C493" s="167"/>
      <c r="D493" s="73"/>
      <c r="E493" s="73"/>
      <c r="F493" s="73"/>
      <c r="G493" s="73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123"/>
      <c r="B494" s="33"/>
      <c r="C494" s="167"/>
      <c r="D494" s="73"/>
      <c r="E494" s="73"/>
      <c r="F494" s="73"/>
      <c r="G494" s="73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123"/>
      <c r="B495" s="33"/>
      <c r="C495" s="167"/>
      <c r="D495" s="73"/>
      <c r="E495" s="73"/>
      <c r="F495" s="73"/>
      <c r="G495" s="73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123"/>
      <c r="B496" s="33"/>
      <c r="C496" s="167"/>
      <c r="D496" s="73"/>
      <c r="E496" s="73"/>
      <c r="F496" s="73"/>
      <c r="G496" s="73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123"/>
      <c r="B497" s="33"/>
      <c r="C497" s="167"/>
      <c r="D497" s="73"/>
      <c r="E497" s="73"/>
      <c r="F497" s="73"/>
      <c r="G497" s="73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123"/>
      <c r="B498" s="33"/>
      <c r="C498" s="167"/>
      <c r="D498" s="73"/>
      <c r="E498" s="73"/>
      <c r="F498" s="73"/>
      <c r="G498" s="73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123"/>
      <c r="B499" s="33"/>
      <c r="C499" s="167"/>
      <c r="D499" s="73"/>
      <c r="E499" s="73"/>
      <c r="F499" s="73"/>
      <c r="G499" s="73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123"/>
      <c r="B500" s="33"/>
      <c r="C500" s="167"/>
      <c r="D500" s="73"/>
      <c r="E500" s="73"/>
      <c r="F500" s="73"/>
      <c r="G500" s="73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123"/>
      <c r="B501" s="33"/>
      <c r="C501" s="167"/>
      <c r="D501" s="73"/>
      <c r="E501" s="73"/>
      <c r="F501" s="73"/>
      <c r="G501" s="73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123"/>
      <c r="B502" s="33"/>
      <c r="C502" s="167"/>
      <c r="D502" s="73"/>
      <c r="E502" s="73"/>
      <c r="F502" s="73"/>
      <c r="G502" s="73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123"/>
      <c r="B503" s="33"/>
      <c r="C503" s="167"/>
      <c r="D503" s="73"/>
      <c r="E503" s="73"/>
      <c r="F503" s="73"/>
      <c r="G503" s="73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123"/>
      <c r="B504" s="33"/>
      <c r="C504" s="167"/>
      <c r="D504" s="73"/>
      <c r="E504" s="73"/>
      <c r="F504" s="73"/>
      <c r="G504" s="73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123"/>
      <c r="B505" s="33"/>
      <c r="C505" s="167"/>
      <c r="D505" s="73"/>
      <c r="E505" s="73"/>
      <c r="F505" s="73"/>
      <c r="G505" s="73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123"/>
      <c r="B506" s="33"/>
      <c r="C506" s="167"/>
      <c r="D506" s="73"/>
      <c r="E506" s="73"/>
      <c r="F506" s="73"/>
      <c r="G506" s="73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123"/>
      <c r="B507" s="33"/>
      <c r="C507" s="167"/>
      <c r="D507" s="73"/>
      <c r="E507" s="73"/>
      <c r="F507" s="73"/>
      <c r="G507" s="73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123"/>
      <c r="B508" s="33"/>
      <c r="C508" s="167"/>
      <c r="D508" s="73"/>
      <c r="E508" s="73"/>
      <c r="F508" s="73"/>
      <c r="G508" s="73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123"/>
      <c r="B509" s="33"/>
      <c r="C509" s="167"/>
      <c r="D509" s="73"/>
      <c r="E509" s="73"/>
      <c r="F509" s="73"/>
      <c r="G509" s="73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123"/>
      <c r="B510" s="33"/>
      <c r="C510" s="167"/>
      <c r="D510" s="73"/>
      <c r="E510" s="73"/>
      <c r="F510" s="73"/>
      <c r="G510" s="73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123"/>
      <c r="B511" s="33"/>
      <c r="C511" s="167"/>
      <c r="D511" s="73"/>
      <c r="E511" s="73"/>
      <c r="F511" s="73"/>
      <c r="G511" s="73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123"/>
      <c r="B512" s="33"/>
      <c r="C512" s="167"/>
      <c r="D512" s="73"/>
      <c r="E512" s="73"/>
      <c r="F512" s="73"/>
      <c r="G512" s="73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123"/>
      <c r="B513" s="33"/>
      <c r="C513" s="167"/>
      <c r="D513" s="73"/>
      <c r="E513" s="73"/>
      <c r="F513" s="73"/>
      <c r="G513" s="73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123"/>
      <c r="B514" s="33"/>
      <c r="C514" s="167"/>
      <c r="D514" s="73"/>
      <c r="E514" s="73"/>
      <c r="F514" s="73"/>
      <c r="G514" s="73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123"/>
      <c r="B515" s="33"/>
      <c r="C515" s="167"/>
      <c r="D515" s="73"/>
      <c r="E515" s="73"/>
      <c r="F515" s="73"/>
      <c r="G515" s="73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123"/>
      <c r="B516" s="33"/>
      <c r="C516" s="167"/>
      <c r="D516" s="73"/>
      <c r="E516" s="73"/>
      <c r="F516" s="73"/>
      <c r="G516" s="73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123"/>
      <c r="B517" s="33"/>
      <c r="C517" s="167"/>
      <c r="D517" s="73"/>
      <c r="E517" s="73"/>
      <c r="F517" s="73"/>
      <c r="G517" s="73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123"/>
      <c r="B518" s="33"/>
      <c r="C518" s="167"/>
      <c r="D518" s="73"/>
      <c r="E518" s="73"/>
      <c r="F518" s="73"/>
      <c r="G518" s="73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123"/>
      <c r="B519" s="33"/>
      <c r="C519" s="167"/>
      <c r="D519" s="73"/>
      <c r="E519" s="73"/>
      <c r="F519" s="73"/>
      <c r="G519" s="73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123"/>
      <c r="B520" s="33"/>
      <c r="C520" s="167"/>
      <c r="D520" s="73"/>
      <c r="E520" s="73"/>
      <c r="F520" s="73"/>
      <c r="G520" s="73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123"/>
      <c r="B521" s="33"/>
      <c r="C521" s="167"/>
      <c r="D521" s="73"/>
      <c r="E521" s="73"/>
      <c r="F521" s="73"/>
      <c r="G521" s="73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123"/>
      <c r="B522" s="33"/>
      <c r="C522" s="167"/>
      <c r="D522" s="73"/>
      <c r="E522" s="73"/>
      <c r="F522" s="73"/>
      <c r="G522" s="73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123"/>
      <c r="B523" s="33"/>
      <c r="C523" s="167"/>
      <c r="D523" s="73"/>
      <c r="E523" s="73"/>
      <c r="F523" s="73"/>
      <c r="G523" s="73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123"/>
      <c r="B524" s="33"/>
      <c r="C524" s="167"/>
      <c r="D524" s="73"/>
      <c r="E524" s="73"/>
      <c r="F524" s="73"/>
      <c r="G524" s="73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123"/>
      <c r="B525" s="33"/>
      <c r="C525" s="167"/>
      <c r="D525" s="73"/>
      <c r="E525" s="73"/>
      <c r="F525" s="73"/>
      <c r="G525" s="73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123"/>
      <c r="B526" s="33"/>
      <c r="C526" s="167"/>
      <c r="D526" s="73"/>
      <c r="E526" s="73"/>
      <c r="F526" s="73"/>
      <c r="G526" s="73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123"/>
      <c r="B527" s="33"/>
      <c r="C527" s="167"/>
      <c r="D527" s="73"/>
      <c r="E527" s="73"/>
      <c r="F527" s="73"/>
      <c r="G527" s="73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123"/>
      <c r="B528" s="33"/>
      <c r="C528" s="167"/>
      <c r="D528" s="73"/>
      <c r="E528" s="73"/>
      <c r="F528" s="73"/>
      <c r="G528" s="73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123"/>
      <c r="B529" s="33"/>
      <c r="C529" s="167"/>
      <c r="D529" s="73"/>
      <c r="E529" s="73"/>
      <c r="F529" s="73"/>
      <c r="G529" s="73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123"/>
      <c r="B530" s="33"/>
      <c r="C530" s="167"/>
      <c r="D530" s="73"/>
      <c r="E530" s="73"/>
      <c r="F530" s="73"/>
      <c r="G530" s="73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123"/>
      <c r="B531" s="33"/>
      <c r="C531" s="167"/>
      <c r="D531" s="73"/>
      <c r="E531" s="73"/>
      <c r="F531" s="73"/>
      <c r="G531" s="73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123"/>
      <c r="B532" s="33"/>
      <c r="C532" s="167"/>
      <c r="D532" s="73"/>
      <c r="E532" s="73"/>
      <c r="F532" s="73"/>
      <c r="G532" s="73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123"/>
      <c r="B533" s="33"/>
      <c r="C533" s="167"/>
      <c r="D533" s="73"/>
      <c r="E533" s="73"/>
      <c r="F533" s="73"/>
      <c r="G533" s="73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123"/>
      <c r="B534" s="33"/>
      <c r="C534" s="167"/>
      <c r="D534" s="73"/>
      <c r="E534" s="73"/>
      <c r="F534" s="73"/>
      <c r="G534" s="73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123"/>
      <c r="B535" s="33"/>
      <c r="C535" s="167"/>
      <c r="D535" s="73"/>
      <c r="E535" s="73"/>
      <c r="F535" s="73"/>
      <c r="G535" s="73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123"/>
      <c r="B536" s="33"/>
      <c r="C536" s="167"/>
      <c r="D536" s="73"/>
      <c r="E536" s="73"/>
      <c r="F536" s="73"/>
      <c r="G536" s="73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123"/>
      <c r="B537" s="33"/>
      <c r="C537" s="167"/>
      <c r="D537" s="73"/>
      <c r="E537" s="73"/>
      <c r="F537" s="73"/>
      <c r="G537" s="73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123"/>
      <c r="B538" s="33"/>
      <c r="C538" s="167"/>
      <c r="D538" s="73"/>
      <c r="E538" s="73"/>
      <c r="F538" s="73"/>
      <c r="G538" s="73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123"/>
      <c r="B539" s="33"/>
      <c r="C539" s="167"/>
      <c r="D539" s="73"/>
      <c r="E539" s="73"/>
      <c r="F539" s="73"/>
      <c r="G539" s="73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123"/>
      <c r="B540" s="33"/>
      <c r="C540" s="167"/>
      <c r="D540" s="73"/>
      <c r="E540" s="73"/>
      <c r="F540" s="73"/>
      <c r="G540" s="73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123"/>
      <c r="B541" s="33"/>
      <c r="C541" s="167"/>
      <c r="D541" s="73"/>
      <c r="E541" s="73"/>
      <c r="F541" s="73"/>
      <c r="G541" s="73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123"/>
      <c r="B542" s="33"/>
      <c r="C542" s="167"/>
      <c r="D542" s="73"/>
      <c r="E542" s="73"/>
      <c r="F542" s="73"/>
      <c r="G542" s="73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123"/>
      <c r="B543" s="33"/>
      <c r="C543" s="167"/>
      <c r="D543" s="73"/>
      <c r="E543" s="73"/>
      <c r="F543" s="73"/>
      <c r="G543" s="73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123"/>
      <c r="B544" s="33"/>
      <c r="C544" s="167"/>
      <c r="D544" s="73"/>
      <c r="E544" s="73"/>
      <c r="F544" s="73"/>
      <c r="G544" s="73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123"/>
      <c r="B545" s="33"/>
      <c r="C545" s="167"/>
      <c r="D545" s="73"/>
      <c r="E545" s="73"/>
      <c r="F545" s="73"/>
      <c r="G545" s="73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123"/>
      <c r="B546" s="33"/>
      <c r="C546" s="167"/>
      <c r="D546" s="73"/>
      <c r="E546" s="73"/>
      <c r="F546" s="73"/>
      <c r="G546" s="73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123"/>
      <c r="B547" s="33"/>
      <c r="C547" s="167"/>
      <c r="D547" s="73"/>
      <c r="E547" s="73"/>
      <c r="F547" s="73"/>
      <c r="G547" s="73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123"/>
      <c r="B548" s="33"/>
      <c r="C548" s="167"/>
      <c r="D548" s="73"/>
      <c r="E548" s="73"/>
      <c r="F548" s="73"/>
      <c r="G548" s="73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123"/>
      <c r="B549" s="33"/>
      <c r="C549" s="167"/>
      <c r="D549" s="73"/>
      <c r="E549" s="73"/>
      <c r="F549" s="73"/>
      <c r="G549" s="73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123"/>
      <c r="B550" s="33"/>
      <c r="C550" s="167"/>
      <c r="D550" s="73"/>
      <c r="E550" s="73"/>
      <c r="F550" s="73"/>
      <c r="G550" s="73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123"/>
      <c r="B551" s="33"/>
      <c r="C551" s="167"/>
      <c r="D551" s="73"/>
      <c r="E551" s="73"/>
      <c r="F551" s="73"/>
      <c r="G551" s="73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123"/>
      <c r="B552" s="33"/>
      <c r="C552" s="167"/>
      <c r="D552" s="73"/>
      <c r="E552" s="73"/>
      <c r="F552" s="73"/>
      <c r="G552" s="73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123"/>
      <c r="B553" s="33"/>
      <c r="C553" s="167"/>
      <c r="D553" s="73"/>
      <c r="E553" s="73"/>
      <c r="F553" s="73"/>
      <c r="G553" s="73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123"/>
      <c r="B554" s="33"/>
      <c r="C554" s="167"/>
      <c r="D554" s="73"/>
      <c r="E554" s="73"/>
      <c r="F554" s="73"/>
      <c r="G554" s="73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123"/>
      <c r="B555" s="33"/>
      <c r="C555" s="167"/>
      <c r="D555" s="73"/>
      <c r="E555" s="73"/>
      <c r="F555" s="73"/>
      <c r="G555" s="73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123"/>
      <c r="B556" s="33"/>
      <c r="C556" s="167"/>
      <c r="D556" s="73"/>
      <c r="E556" s="73"/>
      <c r="F556" s="73"/>
      <c r="G556" s="73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123"/>
      <c r="B557" s="33"/>
      <c r="C557" s="167"/>
      <c r="D557" s="73"/>
      <c r="E557" s="73"/>
      <c r="F557" s="73"/>
      <c r="G557" s="73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123"/>
      <c r="B558" s="33"/>
      <c r="C558" s="167"/>
      <c r="D558" s="73"/>
      <c r="E558" s="73"/>
      <c r="F558" s="73"/>
      <c r="G558" s="73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123"/>
      <c r="B559" s="33"/>
      <c r="C559" s="167"/>
      <c r="D559" s="73"/>
      <c r="E559" s="73"/>
      <c r="F559" s="73"/>
      <c r="G559" s="73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123"/>
      <c r="B560" s="33"/>
      <c r="C560" s="167"/>
      <c r="D560" s="73"/>
      <c r="E560" s="73"/>
      <c r="F560" s="73"/>
      <c r="G560" s="73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123"/>
      <c r="B561" s="33"/>
      <c r="C561" s="167"/>
      <c r="D561" s="73"/>
      <c r="E561" s="73"/>
      <c r="F561" s="73"/>
      <c r="G561" s="73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123"/>
      <c r="B562" s="33"/>
      <c r="C562" s="167"/>
      <c r="D562" s="73"/>
      <c r="E562" s="73"/>
      <c r="F562" s="73"/>
      <c r="G562" s="73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123"/>
      <c r="B563" s="33"/>
      <c r="C563" s="167"/>
      <c r="D563" s="73"/>
      <c r="E563" s="73"/>
      <c r="F563" s="73"/>
      <c r="G563" s="73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123"/>
      <c r="B564" s="33"/>
      <c r="C564" s="167"/>
      <c r="D564" s="73"/>
      <c r="E564" s="73"/>
      <c r="F564" s="73"/>
      <c r="G564" s="73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123"/>
      <c r="B565" s="33"/>
      <c r="C565" s="167"/>
      <c r="D565" s="73"/>
      <c r="E565" s="73"/>
      <c r="F565" s="73"/>
      <c r="G565" s="73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123"/>
      <c r="B566" s="33"/>
      <c r="C566" s="167"/>
      <c r="D566" s="73"/>
      <c r="E566" s="73"/>
      <c r="F566" s="73"/>
      <c r="G566" s="73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123"/>
      <c r="B567" s="33"/>
      <c r="C567" s="167"/>
      <c r="D567" s="73"/>
      <c r="E567" s="73"/>
      <c r="F567" s="73"/>
      <c r="G567" s="73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123"/>
      <c r="B568" s="33"/>
      <c r="C568" s="167"/>
      <c r="D568" s="73"/>
      <c r="E568" s="73"/>
      <c r="F568" s="73"/>
      <c r="G568" s="73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123"/>
      <c r="B569" s="33"/>
      <c r="C569" s="167"/>
      <c r="D569" s="73"/>
      <c r="E569" s="73"/>
      <c r="F569" s="73"/>
      <c r="G569" s="73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123"/>
      <c r="B570" s="33"/>
      <c r="C570" s="167"/>
      <c r="D570" s="73"/>
      <c r="E570" s="73"/>
      <c r="F570" s="73"/>
      <c r="G570" s="73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123"/>
      <c r="B571" s="33"/>
      <c r="C571" s="167"/>
      <c r="D571" s="73"/>
      <c r="E571" s="73"/>
      <c r="F571" s="73"/>
      <c r="G571" s="73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123"/>
      <c r="B572" s="33"/>
      <c r="C572" s="167"/>
      <c r="D572" s="73"/>
      <c r="E572" s="73"/>
      <c r="F572" s="73"/>
      <c r="G572" s="73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123"/>
      <c r="B573" s="33"/>
      <c r="C573" s="167"/>
      <c r="D573" s="73"/>
      <c r="E573" s="73"/>
      <c r="F573" s="73"/>
      <c r="G573" s="73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123"/>
      <c r="B574" s="33"/>
      <c r="C574" s="167"/>
      <c r="D574" s="73"/>
      <c r="E574" s="73"/>
      <c r="F574" s="73"/>
      <c r="G574" s="73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123"/>
      <c r="B575" s="33"/>
      <c r="C575" s="167"/>
      <c r="D575" s="73"/>
      <c r="E575" s="73"/>
      <c r="F575" s="73"/>
      <c r="G575" s="73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123"/>
      <c r="B576" s="33"/>
      <c r="C576" s="167"/>
      <c r="D576" s="73"/>
      <c r="E576" s="73"/>
      <c r="F576" s="73"/>
      <c r="G576" s="73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123"/>
      <c r="B577" s="33"/>
      <c r="C577" s="167"/>
      <c r="D577" s="73"/>
      <c r="E577" s="73"/>
      <c r="F577" s="73"/>
      <c r="G577" s="73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123"/>
      <c r="B578" s="33"/>
      <c r="C578" s="167"/>
      <c r="D578" s="73"/>
      <c r="E578" s="73"/>
      <c r="F578" s="73"/>
      <c r="G578" s="73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123"/>
      <c r="B579" s="33"/>
      <c r="C579" s="167"/>
      <c r="D579" s="73"/>
      <c r="E579" s="73"/>
      <c r="F579" s="73"/>
      <c r="G579" s="73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123"/>
      <c r="B580" s="33"/>
      <c r="C580" s="167"/>
      <c r="D580" s="73"/>
      <c r="E580" s="73"/>
      <c r="F580" s="73"/>
      <c r="G580" s="73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123"/>
      <c r="B581" s="33"/>
      <c r="C581" s="167"/>
      <c r="D581" s="73"/>
      <c r="E581" s="73"/>
      <c r="F581" s="73"/>
      <c r="G581" s="73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123"/>
      <c r="B582" s="33"/>
      <c r="C582" s="167"/>
      <c r="D582" s="73"/>
      <c r="E582" s="73"/>
      <c r="F582" s="73"/>
      <c r="G582" s="73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123"/>
      <c r="B583" s="33"/>
      <c r="C583" s="167"/>
      <c r="D583" s="73"/>
      <c r="E583" s="73"/>
      <c r="F583" s="73"/>
      <c r="G583" s="73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123"/>
      <c r="B584" s="33"/>
      <c r="C584" s="167"/>
      <c r="D584" s="73"/>
      <c r="E584" s="73"/>
      <c r="F584" s="73"/>
      <c r="G584" s="73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123"/>
      <c r="B585" s="33"/>
      <c r="C585" s="167"/>
      <c r="D585" s="73"/>
      <c r="E585" s="73"/>
      <c r="F585" s="73"/>
      <c r="G585" s="73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123"/>
      <c r="B586" s="33"/>
      <c r="C586" s="167"/>
      <c r="D586" s="73"/>
      <c r="E586" s="73"/>
      <c r="F586" s="73"/>
      <c r="G586" s="73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123"/>
      <c r="B587" s="33"/>
      <c r="C587" s="167"/>
      <c r="D587" s="73"/>
      <c r="E587" s="73"/>
      <c r="F587" s="73"/>
      <c r="G587" s="73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123"/>
      <c r="B588" s="33"/>
      <c r="C588" s="167"/>
      <c r="D588" s="73"/>
      <c r="E588" s="73"/>
      <c r="F588" s="73"/>
      <c r="G588" s="73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123"/>
      <c r="B589" s="33"/>
      <c r="C589" s="167"/>
      <c r="D589" s="73"/>
      <c r="E589" s="73"/>
      <c r="F589" s="73"/>
      <c r="G589" s="73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123"/>
      <c r="B590" s="33"/>
      <c r="C590" s="167"/>
      <c r="D590" s="73"/>
      <c r="E590" s="73"/>
      <c r="F590" s="73"/>
      <c r="G590" s="73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123"/>
      <c r="B591" s="33"/>
      <c r="C591" s="167"/>
      <c r="D591" s="73"/>
      <c r="E591" s="73"/>
      <c r="F591" s="73"/>
      <c r="G591" s="73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123"/>
      <c r="B592" s="33"/>
      <c r="C592" s="167"/>
      <c r="D592" s="73"/>
      <c r="E592" s="73"/>
      <c r="F592" s="73"/>
      <c r="G592" s="73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123"/>
      <c r="B593" s="33"/>
      <c r="C593" s="167"/>
      <c r="D593" s="73"/>
      <c r="E593" s="73"/>
      <c r="F593" s="73"/>
      <c r="G593" s="73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123"/>
      <c r="B594" s="33"/>
      <c r="C594" s="167"/>
      <c r="D594" s="73"/>
      <c r="E594" s="73"/>
      <c r="F594" s="73"/>
      <c r="G594" s="73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123"/>
      <c r="B595" s="33"/>
      <c r="C595" s="167"/>
      <c r="D595" s="73"/>
      <c r="E595" s="73"/>
      <c r="F595" s="73"/>
      <c r="G595" s="73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123"/>
      <c r="B596" s="33"/>
      <c r="C596" s="167"/>
      <c r="D596" s="73"/>
      <c r="E596" s="73"/>
      <c r="F596" s="73"/>
      <c r="G596" s="73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123"/>
      <c r="B597" s="33"/>
      <c r="C597" s="167"/>
      <c r="D597" s="73"/>
      <c r="E597" s="73"/>
      <c r="F597" s="73"/>
      <c r="G597" s="73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123"/>
      <c r="B598" s="33"/>
      <c r="C598" s="167"/>
      <c r="D598" s="73"/>
      <c r="E598" s="73"/>
      <c r="F598" s="73"/>
      <c r="G598" s="73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123"/>
      <c r="B599" s="33"/>
      <c r="C599" s="167"/>
      <c r="D599" s="73"/>
      <c r="E599" s="73"/>
      <c r="F599" s="73"/>
      <c r="G599" s="73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123"/>
      <c r="B600" s="33"/>
      <c r="C600" s="167"/>
      <c r="D600" s="73"/>
      <c r="E600" s="73"/>
      <c r="F600" s="73"/>
      <c r="G600" s="73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123"/>
      <c r="B601" s="33"/>
      <c r="C601" s="167"/>
      <c r="D601" s="73"/>
      <c r="E601" s="73"/>
      <c r="F601" s="73"/>
      <c r="G601" s="73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123"/>
      <c r="B602" s="33"/>
      <c r="C602" s="167"/>
      <c r="D602" s="73"/>
      <c r="E602" s="73"/>
      <c r="F602" s="73"/>
      <c r="G602" s="73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123"/>
      <c r="B603" s="33"/>
      <c r="C603" s="167"/>
      <c r="D603" s="73"/>
      <c r="E603" s="73"/>
      <c r="F603" s="73"/>
      <c r="G603" s="73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123"/>
      <c r="B604" s="33"/>
      <c r="C604" s="167"/>
      <c r="D604" s="73"/>
      <c r="E604" s="73"/>
      <c r="F604" s="73"/>
      <c r="G604" s="73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123"/>
      <c r="B605" s="33"/>
      <c r="C605" s="167"/>
      <c r="D605" s="73"/>
      <c r="E605" s="73"/>
      <c r="F605" s="73"/>
      <c r="G605" s="73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123"/>
      <c r="B606" s="33"/>
      <c r="C606" s="167"/>
      <c r="D606" s="73"/>
      <c r="E606" s="73"/>
      <c r="F606" s="73"/>
      <c r="G606" s="73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123"/>
      <c r="B607" s="33"/>
      <c r="C607" s="167"/>
      <c r="D607" s="73"/>
      <c r="E607" s="73"/>
      <c r="F607" s="73"/>
      <c r="G607" s="73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123"/>
      <c r="B608" s="33"/>
      <c r="C608" s="167"/>
      <c r="D608" s="73"/>
      <c r="E608" s="73"/>
      <c r="F608" s="73"/>
      <c r="G608" s="73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123"/>
      <c r="B609" s="33"/>
      <c r="C609" s="167"/>
      <c r="D609" s="73"/>
      <c r="E609" s="73"/>
      <c r="F609" s="73"/>
      <c r="G609" s="73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123"/>
      <c r="B610" s="33"/>
      <c r="C610" s="167"/>
      <c r="D610" s="73"/>
      <c r="E610" s="73"/>
      <c r="F610" s="73"/>
      <c r="G610" s="73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123"/>
      <c r="B611" s="33"/>
      <c r="C611" s="167"/>
      <c r="D611" s="73"/>
      <c r="E611" s="73"/>
      <c r="F611" s="73"/>
      <c r="G611" s="73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123"/>
      <c r="B612" s="33"/>
      <c r="C612" s="167"/>
      <c r="D612" s="73"/>
      <c r="E612" s="73"/>
      <c r="F612" s="73"/>
      <c r="G612" s="73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123"/>
      <c r="B613" s="33"/>
      <c r="C613" s="167"/>
      <c r="D613" s="73"/>
      <c r="E613" s="73"/>
      <c r="F613" s="73"/>
      <c r="G613" s="73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123"/>
      <c r="B614" s="33"/>
      <c r="C614" s="167"/>
      <c r="D614" s="73"/>
      <c r="E614" s="73"/>
      <c r="F614" s="73"/>
      <c r="G614" s="73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123"/>
      <c r="B615" s="33"/>
      <c r="C615" s="167"/>
      <c r="D615" s="73"/>
      <c r="E615" s="73"/>
      <c r="F615" s="73"/>
      <c r="G615" s="73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123"/>
      <c r="B616" s="33"/>
      <c r="C616" s="167"/>
      <c r="D616" s="73"/>
      <c r="E616" s="73"/>
      <c r="F616" s="73"/>
      <c r="G616" s="73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123"/>
      <c r="B617" s="33"/>
      <c r="C617" s="167"/>
      <c r="D617" s="73"/>
      <c r="E617" s="73"/>
      <c r="F617" s="73"/>
      <c r="G617" s="73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123"/>
      <c r="B618" s="33"/>
      <c r="C618" s="167"/>
      <c r="D618" s="73"/>
      <c r="E618" s="73"/>
      <c r="F618" s="73"/>
      <c r="G618" s="73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123"/>
      <c r="B619" s="33"/>
      <c r="C619" s="167"/>
      <c r="D619" s="73"/>
      <c r="E619" s="73"/>
      <c r="F619" s="73"/>
      <c r="G619" s="73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123"/>
      <c r="B620" s="33"/>
      <c r="C620" s="167"/>
      <c r="D620" s="73"/>
      <c r="E620" s="73"/>
      <c r="F620" s="73"/>
      <c r="G620" s="73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123"/>
      <c r="B621" s="33"/>
      <c r="C621" s="167"/>
      <c r="D621" s="73"/>
      <c r="E621" s="73"/>
      <c r="F621" s="73"/>
      <c r="G621" s="73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123"/>
      <c r="B622" s="33"/>
      <c r="C622" s="167"/>
      <c r="D622" s="73"/>
      <c r="E622" s="73"/>
      <c r="F622" s="73"/>
      <c r="G622" s="73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123"/>
      <c r="B623" s="33"/>
      <c r="C623" s="167"/>
      <c r="D623" s="73"/>
      <c r="E623" s="73"/>
      <c r="F623" s="73"/>
      <c r="G623" s="73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123"/>
      <c r="B624" s="33"/>
      <c r="C624" s="167"/>
      <c r="D624" s="73"/>
      <c r="E624" s="73"/>
      <c r="F624" s="73"/>
      <c r="G624" s="73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123"/>
      <c r="B625" s="33"/>
      <c r="C625" s="167"/>
      <c r="D625" s="73"/>
      <c r="E625" s="73"/>
      <c r="F625" s="73"/>
      <c r="G625" s="73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123"/>
      <c r="B626" s="33"/>
      <c r="C626" s="167"/>
      <c r="D626" s="73"/>
      <c r="E626" s="73"/>
      <c r="F626" s="73"/>
      <c r="G626" s="73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123"/>
      <c r="B627" s="33"/>
      <c r="C627" s="167"/>
      <c r="D627" s="73"/>
      <c r="E627" s="73"/>
      <c r="F627" s="73"/>
      <c r="G627" s="73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123"/>
      <c r="B628" s="33"/>
      <c r="C628" s="167"/>
      <c r="D628" s="73"/>
      <c r="E628" s="73"/>
      <c r="F628" s="73"/>
      <c r="G628" s="73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123"/>
      <c r="B629" s="33"/>
      <c r="C629" s="167"/>
      <c r="D629" s="73"/>
      <c r="E629" s="73"/>
      <c r="F629" s="73"/>
      <c r="G629" s="73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123"/>
      <c r="B630" s="33"/>
      <c r="C630" s="167"/>
      <c r="D630" s="73"/>
      <c r="E630" s="73"/>
      <c r="F630" s="73"/>
      <c r="G630" s="73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123"/>
      <c r="B631" s="33"/>
      <c r="C631" s="167"/>
      <c r="D631" s="73"/>
      <c r="E631" s="73"/>
      <c r="F631" s="73"/>
      <c r="G631" s="73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123"/>
      <c r="B632" s="33"/>
      <c r="C632" s="167"/>
      <c r="D632" s="73"/>
      <c r="E632" s="73"/>
      <c r="F632" s="73"/>
      <c r="G632" s="73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123"/>
      <c r="B633" s="33"/>
      <c r="C633" s="167"/>
      <c r="D633" s="73"/>
      <c r="E633" s="73"/>
      <c r="F633" s="73"/>
      <c r="G633" s="73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123"/>
      <c r="B634" s="33"/>
      <c r="C634" s="167"/>
      <c r="D634" s="73"/>
      <c r="E634" s="73"/>
      <c r="F634" s="73"/>
      <c r="G634" s="73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123"/>
      <c r="B635" s="33"/>
      <c r="C635" s="167"/>
      <c r="D635" s="73"/>
      <c r="E635" s="73"/>
      <c r="F635" s="73"/>
      <c r="G635" s="73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123"/>
      <c r="B636" s="33"/>
      <c r="C636" s="167"/>
      <c r="D636" s="73"/>
      <c r="E636" s="73"/>
      <c r="F636" s="73"/>
      <c r="G636" s="73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123"/>
      <c r="B637" s="33"/>
      <c r="C637" s="167"/>
      <c r="D637" s="73"/>
      <c r="E637" s="73"/>
      <c r="F637" s="73"/>
      <c r="G637" s="73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123"/>
      <c r="B638" s="33"/>
      <c r="C638" s="167"/>
      <c r="D638" s="73"/>
      <c r="E638" s="73"/>
      <c r="F638" s="73"/>
      <c r="G638" s="73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123"/>
      <c r="B639" s="33"/>
      <c r="C639" s="167"/>
      <c r="D639" s="73"/>
      <c r="E639" s="73"/>
      <c r="F639" s="73"/>
      <c r="G639" s="73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123"/>
      <c r="B640" s="33"/>
      <c r="C640" s="167"/>
      <c r="D640" s="73"/>
      <c r="E640" s="73"/>
      <c r="F640" s="73"/>
      <c r="G640" s="73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123"/>
      <c r="B641" s="33"/>
      <c r="C641" s="167"/>
      <c r="D641" s="73"/>
      <c r="E641" s="73"/>
      <c r="F641" s="73"/>
      <c r="G641" s="73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123"/>
      <c r="B642" s="33"/>
      <c r="C642" s="167"/>
      <c r="D642" s="73"/>
      <c r="E642" s="73"/>
      <c r="F642" s="73"/>
      <c r="G642" s="73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123"/>
      <c r="B643" s="33"/>
      <c r="C643" s="167"/>
      <c r="D643" s="73"/>
      <c r="E643" s="73"/>
      <c r="F643" s="73"/>
      <c r="G643" s="73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123"/>
      <c r="B644" s="33"/>
      <c r="C644" s="167"/>
      <c r="D644" s="73"/>
      <c r="E644" s="73"/>
      <c r="F644" s="73"/>
      <c r="G644" s="73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123"/>
      <c r="B645" s="33"/>
      <c r="C645" s="167"/>
      <c r="D645" s="73"/>
      <c r="E645" s="73"/>
      <c r="F645" s="73"/>
      <c r="G645" s="73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123"/>
      <c r="B646" s="33"/>
      <c r="C646" s="167"/>
      <c r="D646" s="73"/>
      <c r="E646" s="73"/>
      <c r="F646" s="73"/>
      <c r="G646" s="73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123"/>
      <c r="B647" s="33"/>
      <c r="C647" s="167"/>
      <c r="D647" s="73"/>
      <c r="E647" s="73"/>
      <c r="F647" s="73"/>
      <c r="G647" s="73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123"/>
      <c r="B648" s="33"/>
      <c r="C648" s="167"/>
      <c r="D648" s="73"/>
      <c r="E648" s="73"/>
      <c r="F648" s="73"/>
      <c r="G648" s="73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123"/>
      <c r="B649" s="33"/>
      <c r="C649" s="167"/>
      <c r="D649" s="73"/>
      <c r="E649" s="73"/>
      <c r="F649" s="73"/>
      <c r="G649" s="73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123"/>
      <c r="B650" s="33"/>
      <c r="C650" s="167"/>
      <c r="D650" s="73"/>
      <c r="E650" s="73"/>
      <c r="F650" s="73"/>
      <c r="G650" s="73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123"/>
      <c r="B651" s="33"/>
      <c r="C651" s="167"/>
      <c r="D651" s="73"/>
      <c r="E651" s="73"/>
      <c r="F651" s="73"/>
      <c r="G651" s="73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123"/>
      <c r="B652" s="33"/>
      <c r="C652" s="167"/>
      <c r="D652" s="73"/>
      <c r="E652" s="73"/>
      <c r="F652" s="73"/>
      <c r="G652" s="73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123"/>
      <c r="B653" s="33"/>
      <c r="C653" s="167"/>
      <c r="D653" s="73"/>
      <c r="E653" s="73"/>
      <c r="F653" s="73"/>
      <c r="G653" s="73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123"/>
      <c r="B654" s="33"/>
      <c r="C654" s="167"/>
      <c r="D654" s="73"/>
      <c r="E654" s="73"/>
      <c r="F654" s="73"/>
      <c r="G654" s="73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123"/>
      <c r="B655" s="33"/>
      <c r="C655" s="167"/>
      <c r="D655" s="73"/>
      <c r="E655" s="73"/>
      <c r="F655" s="73"/>
      <c r="G655" s="73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123"/>
      <c r="B656" s="33"/>
      <c r="C656" s="167"/>
      <c r="D656" s="73"/>
      <c r="E656" s="73"/>
      <c r="F656" s="73"/>
      <c r="G656" s="73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123"/>
      <c r="B657" s="33"/>
      <c r="C657" s="167"/>
      <c r="D657" s="73"/>
      <c r="E657" s="73"/>
      <c r="F657" s="73"/>
      <c r="G657" s="73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123"/>
      <c r="B658" s="33"/>
      <c r="C658" s="167"/>
      <c r="D658" s="73"/>
      <c r="E658" s="73"/>
      <c r="F658" s="73"/>
      <c r="G658" s="73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123"/>
      <c r="B659" s="33"/>
      <c r="C659" s="167"/>
      <c r="D659" s="73"/>
      <c r="E659" s="73"/>
      <c r="F659" s="73"/>
      <c r="G659" s="73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123"/>
      <c r="B660" s="33"/>
      <c r="C660" s="167"/>
      <c r="D660" s="73"/>
      <c r="E660" s="73"/>
      <c r="F660" s="73"/>
      <c r="G660" s="73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123"/>
      <c r="B661" s="33"/>
      <c r="C661" s="167"/>
      <c r="D661" s="73"/>
      <c r="E661" s="73"/>
      <c r="F661" s="73"/>
      <c r="G661" s="73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123"/>
      <c r="B662" s="33"/>
      <c r="C662" s="167"/>
      <c r="D662" s="73"/>
      <c r="E662" s="73"/>
      <c r="F662" s="73"/>
      <c r="G662" s="73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123"/>
      <c r="B663" s="33"/>
      <c r="C663" s="167"/>
      <c r="D663" s="73"/>
      <c r="E663" s="73"/>
      <c r="F663" s="73"/>
      <c r="G663" s="73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123"/>
      <c r="B664" s="33"/>
      <c r="C664" s="167"/>
      <c r="D664" s="73"/>
      <c r="E664" s="73"/>
      <c r="F664" s="73"/>
      <c r="G664" s="73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123"/>
      <c r="B665" s="33"/>
      <c r="C665" s="167"/>
      <c r="D665" s="73"/>
      <c r="E665" s="73"/>
      <c r="F665" s="73"/>
      <c r="G665" s="73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123"/>
      <c r="B666" s="33"/>
      <c r="C666" s="167"/>
      <c r="D666" s="73"/>
      <c r="E666" s="73"/>
      <c r="F666" s="73"/>
      <c r="G666" s="73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123"/>
      <c r="B667" s="33"/>
      <c r="C667" s="167"/>
      <c r="D667" s="73"/>
      <c r="E667" s="73"/>
      <c r="F667" s="73"/>
      <c r="G667" s="73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123"/>
      <c r="B668" s="33"/>
      <c r="C668" s="167"/>
      <c r="D668" s="73"/>
      <c r="E668" s="73"/>
      <c r="F668" s="73"/>
      <c r="G668" s="73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123"/>
      <c r="B669" s="33"/>
      <c r="C669" s="167"/>
      <c r="D669" s="73"/>
      <c r="E669" s="73"/>
      <c r="F669" s="73"/>
      <c r="G669" s="73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123"/>
      <c r="B670" s="33"/>
      <c r="C670" s="167"/>
      <c r="D670" s="73"/>
      <c r="E670" s="73"/>
      <c r="F670" s="73"/>
      <c r="G670" s="73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123"/>
      <c r="B671" s="33"/>
      <c r="C671" s="167"/>
      <c r="D671" s="73"/>
      <c r="E671" s="73"/>
      <c r="F671" s="73"/>
      <c r="G671" s="73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123"/>
      <c r="B672" s="33"/>
      <c r="C672" s="167"/>
      <c r="D672" s="73"/>
      <c r="E672" s="73"/>
      <c r="F672" s="73"/>
      <c r="G672" s="73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123"/>
      <c r="B673" s="33"/>
      <c r="C673" s="167"/>
      <c r="D673" s="73"/>
      <c r="E673" s="73"/>
      <c r="F673" s="73"/>
      <c r="G673" s="73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123"/>
      <c r="B674" s="33"/>
      <c r="C674" s="167"/>
      <c r="D674" s="73"/>
      <c r="E674" s="73"/>
      <c r="F674" s="73"/>
      <c r="G674" s="73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123"/>
      <c r="B675" s="33"/>
      <c r="C675" s="167"/>
      <c r="D675" s="73"/>
      <c r="E675" s="73"/>
      <c r="F675" s="73"/>
      <c r="G675" s="73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123"/>
      <c r="B676" s="33"/>
      <c r="C676" s="167"/>
      <c r="D676" s="73"/>
      <c r="E676" s="73"/>
      <c r="F676" s="73"/>
      <c r="G676" s="73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123"/>
      <c r="B677" s="33"/>
      <c r="C677" s="167"/>
      <c r="D677" s="73"/>
      <c r="E677" s="73"/>
      <c r="F677" s="73"/>
      <c r="G677" s="73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123"/>
      <c r="B678" s="33"/>
      <c r="C678" s="167"/>
      <c r="D678" s="73"/>
      <c r="E678" s="73"/>
      <c r="F678" s="73"/>
      <c r="G678" s="73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123"/>
      <c r="B679" s="33"/>
      <c r="C679" s="167"/>
      <c r="D679" s="73"/>
      <c r="E679" s="73"/>
      <c r="F679" s="73"/>
      <c r="G679" s="73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123"/>
      <c r="B680" s="33"/>
      <c r="C680" s="167"/>
      <c r="D680" s="73"/>
      <c r="E680" s="73"/>
      <c r="F680" s="73"/>
      <c r="G680" s="73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123"/>
      <c r="B681" s="33"/>
      <c r="C681" s="167"/>
      <c r="D681" s="73"/>
      <c r="E681" s="73"/>
      <c r="F681" s="73"/>
      <c r="G681" s="73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123"/>
      <c r="B682" s="33"/>
      <c r="C682" s="167"/>
      <c r="D682" s="73"/>
      <c r="E682" s="73"/>
      <c r="F682" s="73"/>
      <c r="G682" s="73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123"/>
      <c r="B683" s="33"/>
      <c r="C683" s="167"/>
      <c r="D683" s="73"/>
      <c r="E683" s="73"/>
      <c r="F683" s="73"/>
      <c r="G683" s="73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123"/>
      <c r="B684" s="33"/>
      <c r="C684" s="167"/>
      <c r="D684" s="73"/>
      <c r="E684" s="73"/>
      <c r="F684" s="73"/>
      <c r="G684" s="73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123"/>
      <c r="B685" s="33"/>
      <c r="C685" s="167"/>
      <c r="D685" s="73"/>
      <c r="E685" s="73"/>
      <c r="F685" s="73"/>
      <c r="G685" s="73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123"/>
      <c r="B686" s="33"/>
      <c r="C686" s="167"/>
      <c r="D686" s="73"/>
      <c r="E686" s="73"/>
      <c r="F686" s="73"/>
      <c r="G686" s="73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123"/>
      <c r="B687" s="33"/>
      <c r="C687" s="167"/>
      <c r="D687" s="73"/>
      <c r="E687" s="73"/>
      <c r="F687" s="73"/>
      <c r="G687" s="73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123"/>
      <c r="B688" s="33"/>
      <c r="C688" s="167"/>
      <c r="D688" s="73"/>
      <c r="E688" s="73"/>
      <c r="F688" s="73"/>
      <c r="G688" s="73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123"/>
      <c r="B689" s="33"/>
      <c r="C689" s="167"/>
      <c r="D689" s="73"/>
      <c r="E689" s="73"/>
      <c r="F689" s="73"/>
      <c r="G689" s="73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123"/>
      <c r="B690" s="33"/>
      <c r="C690" s="167"/>
      <c r="D690" s="73"/>
      <c r="E690" s="73"/>
      <c r="F690" s="73"/>
      <c r="G690" s="73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123"/>
      <c r="B691" s="33"/>
      <c r="C691" s="167"/>
      <c r="D691" s="73"/>
      <c r="E691" s="73"/>
      <c r="F691" s="73"/>
      <c r="G691" s="73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123"/>
      <c r="B692" s="33"/>
      <c r="C692" s="167"/>
      <c r="D692" s="73"/>
      <c r="E692" s="73"/>
      <c r="F692" s="73"/>
      <c r="G692" s="73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123"/>
      <c r="B693" s="33"/>
      <c r="C693" s="167"/>
      <c r="D693" s="73"/>
      <c r="E693" s="73"/>
      <c r="F693" s="73"/>
      <c r="G693" s="73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123"/>
      <c r="B694" s="33"/>
      <c r="C694" s="167"/>
      <c r="D694" s="73"/>
      <c r="E694" s="73"/>
      <c r="F694" s="73"/>
      <c r="G694" s="73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123"/>
      <c r="B695" s="33"/>
      <c r="C695" s="167"/>
      <c r="D695" s="73"/>
      <c r="E695" s="73"/>
      <c r="F695" s="73"/>
      <c r="G695" s="73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123"/>
      <c r="B696" s="33"/>
      <c r="C696" s="167"/>
      <c r="D696" s="73"/>
      <c r="E696" s="73"/>
      <c r="F696" s="73"/>
      <c r="G696" s="73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123"/>
      <c r="B697" s="33"/>
      <c r="C697" s="167"/>
      <c r="D697" s="73"/>
      <c r="E697" s="73"/>
      <c r="F697" s="73"/>
      <c r="G697" s="73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123"/>
      <c r="B698" s="33"/>
      <c r="C698" s="167"/>
      <c r="D698" s="73"/>
      <c r="E698" s="73"/>
      <c r="F698" s="73"/>
      <c r="G698" s="73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123"/>
      <c r="B699" s="33"/>
      <c r="C699" s="167"/>
      <c r="D699" s="73"/>
      <c r="E699" s="73"/>
      <c r="F699" s="73"/>
      <c r="G699" s="73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123"/>
      <c r="B700" s="33"/>
      <c r="C700" s="167"/>
      <c r="D700" s="73"/>
      <c r="E700" s="73"/>
      <c r="F700" s="73"/>
      <c r="G700" s="73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123"/>
      <c r="B701" s="33"/>
      <c r="C701" s="167"/>
      <c r="D701" s="73"/>
      <c r="E701" s="73"/>
      <c r="F701" s="73"/>
      <c r="G701" s="73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123"/>
      <c r="B702" s="33"/>
      <c r="C702" s="167"/>
      <c r="D702" s="73"/>
      <c r="E702" s="73"/>
      <c r="F702" s="73"/>
      <c r="G702" s="73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123"/>
      <c r="B703" s="33"/>
      <c r="C703" s="167"/>
      <c r="D703" s="73"/>
      <c r="E703" s="73"/>
      <c r="F703" s="73"/>
      <c r="G703" s="73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123"/>
      <c r="B704" s="33"/>
      <c r="C704" s="167"/>
      <c r="D704" s="73"/>
      <c r="E704" s="73"/>
      <c r="F704" s="73"/>
      <c r="G704" s="73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123"/>
      <c r="B705" s="33"/>
      <c r="C705" s="167"/>
      <c r="D705" s="73"/>
      <c r="E705" s="73"/>
      <c r="F705" s="73"/>
      <c r="G705" s="73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123"/>
      <c r="B706" s="33"/>
      <c r="C706" s="167"/>
      <c r="D706" s="73"/>
      <c r="E706" s="73"/>
      <c r="F706" s="73"/>
      <c r="G706" s="73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123"/>
      <c r="B707" s="33"/>
      <c r="C707" s="167"/>
      <c r="D707" s="73"/>
      <c r="E707" s="73"/>
      <c r="F707" s="73"/>
      <c r="G707" s="73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123"/>
      <c r="B708" s="33"/>
      <c r="C708" s="167"/>
      <c r="D708" s="73"/>
      <c r="E708" s="73"/>
      <c r="F708" s="73"/>
      <c r="G708" s="73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123"/>
      <c r="B709" s="33"/>
      <c r="C709" s="167"/>
      <c r="D709" s="73"/>
      <c r="E709" s="73"/>
      <c r="F709" s="73"/>
      <c r="G709" s="73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123"/>
      <c r="B710" s="33"/>
      <c r="C710" s="167"/>
      <c r="D710" s="73"/>
      <c r="E710" s="73"/>
      <c r="F710" s="73"/>
      <c r="G710" s="73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123"/>
      <c r="B711" s="33"/>
      <c r="C711" s="167"/>
      <c r="D711" s="73"/>
      <c r="E711" s="73"/>
      <c r="F711" s="73"/>
      <c r="G711" s="73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123"/>
      <c r="B712" s="33"/>
      <c r="C712" s="167"/>
      <c r="D712" s="73"/>
      <c r="E712" s="73"/>
      <c r="F712" s="73"/>
      <c r="G712" s="73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123"/>
      <c r="B713" s="33"/>
      <c r="C713" s="167"/>
      <c r="D713" s="73"/>
      <c r="E713" s="73"/>
      <c r="F713" s="73"/>
      <c r="G713" s="73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123"/>
      <c r="B714" s="33"/>
      <c r="C714" s="167"/>
      <c r="D714" s="73"/>
      <c r="E714" s="73"/>
      <c r="F714" s="73"/>
      <c r="G714" s="73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123"/>
      <c r="B715" s="33"/>
      <c r="C715" s="167"/>
      <c r="D715" s="73"/>
      <c r="E715" s="73"/>
      <c r="F715" s="73"/>
      <c r="G715" s="73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123"/>
      <c r="B716" s="33"/>
      <c r="C716" s="167"/>
      <c r="D716" s="73"/>
      <c r="E716" s="73"/>
      <c r="F716" s="73"/>
      <c r="G716" s="73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123"/>
      <c r="B717" s="33"/>
      <c r="C717" s="167"/>
      <c r="D717" s="73"/>
      <c r="E717" s="73"/>
      <c r="F717" s="73"/>
      <c r="G717" s="73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123"/>
      <c r="B718" s="33"/>
      <c r="C718" s="167"/>
      <c r="D718" s="73"/>
      <c r="E718" s="73"/>
      <c r="F718" s="73"/>
      <c r="G718" s="73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123"/>
      <c r="B719" s="33"/>
      <c r="C719" s="167"/>
      <c r="D719" s="73"/>
      <c r="E719" s="73"/>
      <c r="F719" s="73"/>
      <c r="G719" s="73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123"/>
      <c r="B720" s="33"/>
      <c r="C720" s="167"/>
      <c r="D720" s="73"/>
      <c r="E720" s="73"/>
      <c r="F720" s="73"/>
      <c r="G720" s="73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123"/>
      <c r="B721" s="33"/>
      <c r="C721" s="167"/>
      <c r="D721" s="73"/>
      <c r="E721" s="73"/>
      <c r="F721" s="73"/>
      <c r="G721" s="73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123"/>
      <c r="B722" s="33"/>
      <c r="C722" s="167"/>
      <c r="D722" s="73"/>
      <c r="E722" s="73"/>
      <c r="F722" s="73"/>
      <c r="G722" s="73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123"/>
      <c r="B723" s="33"/>
      <c r="C723" s="167"/>
      <c r="D723" s="73"/>
      <c r="E723" s="73"/>
      <c r="F723" s="73"/>
      <c r="G723" s="73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123"/>
      <c r="B724" s="33"/>
      <c r="C724" s="167"/>
      <c r="D724" s="73"/>
      <c r="E724" s="73"/>
      <c r="F724" s="73"/>
      <c r="G724" s="73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123"/>
      <c r="B725" s="33"/>
      <c r="C725" s="167"/>
      <c r="D725" s="73"/>
      <c r="E725" s="73"/>
      <c r="F725" s="73"/>
      <c r="G725" s="73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123"/>
      <c r="B726" s="33"/>
      <c r="C726" s="167"/>
      <c r="D726" s="73"/>
      <c r="E726" s="73"/>
      <c r="F726" s="73"/>
      <c r="G726" s="73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123"/>
      <c r="B727" s="33"/>
      <c r="C727" s="167"/>
      <c r="D727" s="73"/>
      <c r="E727" s="73"/>
      <c r="F727" s="73"/>
      <c r="G727" s="73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123"/>
      <c r="B728" s="33"/>
      <c r="C728" s="167"/>
      <c r="D728" s="73"/>
      <c r="E728" s="73"/>
      <c r="F728" s="73"/>
      <c r="G728" s="73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123"/>
      <c r="B729" s="33"/>
      <c r="C729" s="167"/>
      <c r="D729" s="73"/>
      <c r="E729" s="73"/>
      <c r="F729" s="73"/>
      <c r="G729" s="73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123"/>
      <c r="B730" s="33"/>
      <c r="C730" s="167"/>
      <c r="D730" s="73"/>
      <c r="E730" s="73"/>
      <c r="F730" s="73"/>
      <c r="G730" s="73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123"/>
      <c r="B731" s="33"/>
      <c r="C731" s="167"/>
      <c r="D731" s="73"/>
      <c r="E731" s="73"/>
      <c r="F731" s="73"/>
      <c r="G731" s="73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123"/>
      <c r="B732" s="33"/>
      <c r="C732" s="167"/>
      <c r="D732" s="73"/>
      <c r="E732" s="73"/>
      <c r="F732" s="73"/>
      <c r="G732" s="73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123"/>
      <c r="B733" s="33"/>
      <c r="C733" s="167"/>
      <c r="D733" s="73"/>
      <c r="E733" s="73"/>
      <c r="F733" s="73"/>
      <c r="G733" s="73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123"/>
      <c r="B734" s="33"/>
      <c r="C734" s="167"/>
      <c r="D734" s="73"/>
      <c r="E734" s="73"/>
      <c r="F734" s="73"/>
      <c r="G734" s="73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123"/>
      <c r="B735" s="33"/>
      <c r="C735" s="167"/>
      <c r="D735" s="73"/>
      <c r="E735" s="73"/>
      <c r="F735" s="73"/>
      <c r="G735" s="73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123"/>
      <c r="B736" s="33"/>
      <c r="C736" s="167"/>
      <c r="D736" s="73"/>
      <c r="E736" s="73"/>
      <c r="F736" s="73"/>
      <c r="G736" s="73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123"/>
      <c r="B737" s="33"/>
      <c r="C737" s="167"/>
      <c r="D737" s="73"/>
      <c r="E737" s="73"/>
      <c r="F737" s="73"/>
      <c r="G737" s="73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123"/>
      <c r="B738" s="33"/>
      <c r="C738" s="167"/>
      <c r="D738" s="73"/>
      <c r="E738" s="73"/>
      <c r="F738" s="73"/>
      <c r="G738" s="73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123"/>
      <c r="B739" s="33"/>
      <c r="C739" s="167"/>
      <c r="D739" s="73"/>
      <c r="E739" s="73"/>
      <c r="F739" s="73"/>
      <c r="G739" s="73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123"/>
      <c r="B740" s="33"/>
      <c r="C740" s="167"/>
      <c r="D740" s="73"/>
      <c r="E740" s="73"/>
      <c r="F740" s="73"/>
      <c r="G740" s="73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123"/>
      <c r="B741" s="33"/>
      <c r="C741" s="167"/>
      <c r="D741" s="73"/>
      <c r="E741" s="73"/>
      <c r="F741" s="73"/>
      <c r="G741" s="73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123"/>
      <c r="B742" s="33"/>
      <c r="C742" s="167"/>
      <c r="D742" s="73"/>
      <c r="E742" s="73"/>
      <c r="F742" s="73"/>
      <c r="G742" s="73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123"/>
      <c r="B743" s="33"/>
      <c r="C743" s="167"/>
      <c r="D743" s="73"/>
      <c r="E743" s="73"/>
      <c r="F743" s="73"/>
      <c r="G743" s="73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123"/>
      <c r="B744" s="33"/>
      <c r="C744" s="167"/>
      <c r="D744" s="73"/>
      <c r="E744" s="73"/>
      <c r="F744" s="73"/>
      <c r="G744" s="73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123"/>
      <c r="B745" s="33"/>
      <c r="C745" s="167"/>
      <c r="D745" s="73"/>
      <c r="E745" s="73"/>
      <c r="F745" s="73"/>
      <c r="G745" s="73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123"/>
      <c r="B746" s="33"/>
      <c r="C746" s="167"/>
      <c r="D746" s="73"/>
      <c r="E746" s="73"/>
      <c r="F746" s="73"/>
      <c r="G746" s="73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123"/>
      <c r="B747" s="33"/>
      <c r="C747" s="167"/>
      <c r="D747" s="73"/>
      <c r="E747" s="73"/>
      <c r="F747" s="73"/>
      <c r="G747" s="73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123"/>
      <c r="B748" s="33"/>
      <c r="C748" s="167"/>
      <c r="D748" s="73"/>
      <c r="E748" s="73"/>
      <c r="F748" s="73"/>
      <c r="G748" s="73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123"/>
      <c r="B749" s="33"/>
      <c r="C749" s="167"/>
      <c r="D749" s="73"/>
      <c r="E749" s="73"/>
      <c r="F749" s="73"/>
      <c r="G749" s="73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123"/>
      <c r="B750" s="33"/>
      <c r="C750" s="167"/>
      <c r="D750" s="73"/>
      <c r="E750" s="73"/>
      <c r="F750" s="73"/>
      <c r="G750" s="73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123"/>
      <c r="B751" s="33"/>
      <c r="C751" s="167"/>
      <c r="D751" s="73"/>
      <c r="E751" s="73"/>
      <c r="F751" s="73"/>
      <c r="G751" s="73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123"/>
      <c r="B752" s="33"/>
      <c r="C752" s="167"/>
      <c r="D752" s="73"/>
      <c r="E752" s="73"/>
      <c r="F752" s="73"/>
      <c r="G752" s="73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123"/>
      <c r="B753" s="33"/>
      <c r="C753" s="167"/>
      <c r="D753" s="73"/>
      <c r="E753" s="73"/>
      <c r="F753" s="73"/>
      <c r="G753" s="73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123"/>
      <c r="B754" s="33"/>
      <c r="C754" s="167"/>
      <c r="D754" s="73"/>
      <c r="E754" s="73"/>
      <c r="F754" s="73"/>
      <c r="G754" s="73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123"/>
      <c r="B755" s="33"/>
      <c r="C755" s="167"/>
      <c r="D755" s="73"/>
      <c r="E755" s="73"/>
      <c r="F755" s="73"/>
      <c r="G755" s="73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123"/>
      <c r="B756" s="33"/>
      <c r="C756" s="167"/>
      <c r="D756" s="73"/>
      <c r="E756" s="73"/>
      <c r="F756" s="73"/>
      <c r="G756" s="73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123"/>
      <c r="B757" s="33"/>
      <c r="C757" s="167"/>
      <c r="D757" s="73"/>
      <c r="E757" s="73"/>
      <c r="F757" s="73"/>
      <c r="G757" s="73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123"/>
      <c r="B758" s="33"/>
      <c r="C758" s="167"/>
      <c r="D758" s="73"/>
      <c r="E758" s="73"/>
      <c r="F758" s="73"/>
      <c r="G758" s="73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123"/>
      <c r="B759" s="33"/>
      <c r="C759" s="167"/>
      <c r="D759" s="73"/>
      <c r="E759" s="73"/>
      <c r="F759" s="73"/>
      <c r="G759" s="73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123"/>
      <c r="B760" s="33"/>
      <c r="C760" s="167"/>
      <c r="D760" s="73"/>
      <c r="E760" s="73"/>
      <c r="F760" s="73"/>
      <c r="G760" s="73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123"/>
      <c r="B761" s="33"/>
      <c r="C761" s="167"/>
      <c r="D761" s="73"/>
      <c r="E761" s="73"/>
      <c r="F761" s="73"/>
      <c r="G761" s="73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123"/>
      <c r="B762" s="33"/>
      <c r="C762" s="167"/>
      <c r="D762" s="73"/>
      <c r="E762" s="73"/>
      <c r="F762" s="73"/>
      <c r="G762" s="73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123"/>
      <c r="B763" s="33"/>
      <c r="C763" s="167"/>
      <c r="D763" s="73"/>
      <c r="E763" s="73"/>
      <c r="F763" s="73"/>
      <c r="G763" s="73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123"/>
      <c r="B764" s="33"/>
      <c r="C764" s="167"/>
      <c r="D764" s="73"/>
      <c r="E764" s="73"/>
      <c r="F764" s="73"/>
      <c r="G764" s="73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123"/>
      <c r="B765" s="33"/>
      <c r="C765" s="167"/>
      <c r="D765" s="73"/>
      <c r="E765" s="73"/>
      <c r="F765" s="73"/>
      <c r="G765" s="73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123"/>
      <c r="B766" s="33"/>
      <c r="C766" s="167"/>
      <c r="D766" s="73"/>
      <c r="E766" s="73"/>
      <c r="F766" s="73"/>
      <c r="G766" s="73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123"/>
      <c r="B767" s="33"/>
      <c r="C767" s="167"/>
      <c r="D767" s="73"/>
      <c r="E767" s="73"/>
      <c r="F767" s="73"/>
      <c r="G767" s="73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123"/>
      <c r="B768" s="33"/>
      <c r="C768" s="167"/>
      <c r="D768" s="73"/>
      <c r="E768" s="73"/>
      <c r="F768" s="73"/>
      <c r="G768" s="73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123"/>
      <c r="B769" s="33"/>
      <c r="C769" s="167"/>
      <c r="D769" s="73"/>
      <c r="E769" s="73"/>
      <c r="F769" s="73"/>
      <c r="G769" s="73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123"/>
      <c r="B770" s="33"/>
      <c r="C770" s="167"/>
      <c r="D770" s="73"/>
      <c r="E770" s="73"/>
      <c r="F770" s="73"/>
      <c r="G770" s="73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123"/>
      <c r="B771" s="33"/>
      <c r="C771" s="167"/>
      <c r="D771" s="73"/>
      <c r="E771" s="73"/>
      <c r="F771" s="73"/>
      <c r="G771" s="73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123"/>
      <c r="B772" s="33"/>
      <c r="C772" s="167"/>
      <c r="D772" s="73"/>
      <c r="E772" s="73"/>
      <c r="F772" s="73"/>
      <c r="G772" s="73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123"/>
      <c r="B773" s="33"/>
      <c r="C773" s="167"/>
      <c r="D773" s="73"/>
      <c r="E773" s="73"/>
      <c r="F773" s="73"/>
      <c r="G773" s="73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123"/>
      <c r="B774" s="33"/>
      <c r="C774" s="167"/>
      <c r="D774" s="73"/>
      <c r="E774" s="73"/>
      <c r="F774" s="73"/>
      <c r="G774" s="73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123"/>
      <c r="B775" s="33"/>
      <c r="C775" s="167"/>
      <c r="D775" s="73"/>
      <c r="E775" s="73"/>
      <c r="F775" s="73"/>
      <c r="G775" s="73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123"/>
      <c r="B776" s="33"/>
      <c r="C776" s="167"/>
      <c r="D776" s="73"/>
      <c r="E776" s="73"/>
      <c r="F776" s="73"/>
      <c r="G776" s="73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123"/>
      <c r="B777" s="33"/>
      <c r="C777" s="167"/>
      <c r="D777" s="73"/>
      <c r="E777" s="73"/>
      <c r="F777" s="73"/>
      <c r="G777" s="73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123"/>
      <c r="B778" s="33"/>
      <c r="C778" s="167"/>
      <c r="D778" s="73"/>
      <c r="E778" s="73"/>
      <c r="F778" s="73"/>
      <c r="G778" s="73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123"/>
      <c r="B779" s="33"/>
      <c r="C779" s="167"/>
      <c r="D779" s="73"/>
      <c r="E779" s="73"/>
      <c r="F779" s="73"/>
      <c r="G779" s="73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123"/>
      <c r="B780" s="33"/>
      <c r="C780" s="167"/>
      <c r="D780" s="73"/>
      <c r="E780" s="73"/>
      <c r="F780" s="73"/>
      <c r="G780" s="73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123"/>
      <c r="B781" s="33"/>
      <c r="C781" s="167"/>
      <c r="D781" s="73"/>
      <c r="E781" s="73"/>
      <c r="F781" s="73"/>
      <c r="G781" s="73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123"/>
      <c r="B782" s="33"/>
      <c r="C782" s="167"/>
      <c r="D782" s="73"/>
      <c r="E782" s="73"/>
      <c r="F782" s="73"/>
      <c r="G782" s="73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123"/>
      <c r="B783" s="33"/>
      <c r="C783" s="167"/>
      <c r="D783" s="73"/>
      <c r="E783" s="73"/>
      <c r="F783" s="73"/>
      <c r="G783" s="73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123"/>
      <c r="B784" s="33"/>
      <c r="C784" s="167"/>
      <c r="D784" s="73"/>
      <c r="E784" s="73"/>
      <c r="F784" s="73"/>
      <c r="G784" s="73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123"/>
      <c r="B785" s="33"/>
      <c r="C785" s="167"/>
      <c r="D785" s="73"/>
      <c r="E785" s="73"/>
      <c r="F785" s="73"/>
      <c r="G785" s="73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123"/>
      <c r="B786" s="33"/>
      <c r="C786" s="167"/>
      <c r="D786" s="73"/>
      <c r="E786" s="73"/>
      <c r="F786" s="73"/>
      <c r="G786" s="73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123"/>
      <c r="B787" s="33"/>
      <c r="C787" s="167"/>
      <c r="D787" s="73"/>
      <c r="E787" s="73"/>
      <c r="F787" s="73"/>
      <c r="G787" s="73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123"/>
      <c r="B788" s="33"/>
      <c r="C788" s="167"/>
      <c r="D788" s="73"/>
      <c r="E788" s="73"/>
      <c r="F788" s="73"/>
      <c r="G788" s="73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123"/>
      <c r="B789" s="33"/>
      <c r="C789" s="167"/>
      <c r="D789" s="73"/>
      <c r="E789" s="73"/>
      <c r="F789" s="73"/>
      <c r="G789" s="73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123"/>
      <c r="B790" s="33"/>
      <c r="C790" s="167"/>
      <c r="D790" s="73"/>
      <c r="E790" s="73"/>
      <c r="F790" s="73"/>
      <c r="G790" s="73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123"/>
      <c r="B791" s="33"/>
      <c r="C791" s="167"/>
      <c r="D791" s="73"/>
      <c r="E791" s="73"/>
      <c r="F791" s="73"/>
      <c r="G791" s="73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123"/>
      <c r="B792" s="33"/>
      <c r="C792" s="167"/>
      <c r="D792" s="73"/>
      <c r="E792" s="73"/>
      <c r="F792" s="73"/>
      <c r="G792" s="73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123"/>
      <c r="B793" s="33"/>
      <c r="C793" s="167"/>
      <c r="D793" s="73"/>
      <c r="E793" s="73"/>
      <c r="F793" s="73"/>
      <c r="G793" s="73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123"/>
      <c r="B794" s="33"/>
      <c r="C794" s="167"/>
      <c r="D794" s="73"/>
      <c r="E794" s="73"/>
      <c r="F794" s="73"/>
      <c r="G794" s="73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123"/>
      <c r="B795" s="33"/>
      <c r="C795" s="167"/>
      <c r="D795" s="73"/>
      <c r="E795" s="73"/>
      <c r="F795" s="73"/>
      <c r="G795" s="73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123"/>
      <c r="B796" s="33"/>
      <c r="C796" s="167"/>
      <c r="D796" s="73"/>
      <c r="E796" s="73"/>
      <c r="F796" s="73"/>
      <c r="G796" s="73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123"/>
      <c r="B797" s="33"/>
      <c r="C797" s="167"/>
      <c r="D797" s="73"/>
      <c r="E797" s="73"/>
      <c r="F797" s="73"/>
      <c r="G797" s="73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123"/>
      <c r="B798" s="33"/>
      <c r="C798" s="167"/>
      <c r="D798" s="73"/>
      <c r="E798" s="73"/>
      <c r="F798" s="73"/>
      <c r="G798" s="73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123"/>
      <c r="B799" s="33"/>
      <c r="C799" s="167"/>
      <c r="D799" s="73"/>
      <c r="E799" s="73"/>
      <c r="F799" s="73"/>
      <c r="G799" s="73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123"/>
      <c r="B800" s="33"/>
      <c r="C800" s="167"/>
      <c r="D800" s="73"/>
      <c r="E800" s="73"/>
      <c r="F800" s="73"/>
      <c r="G800" s="73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123"/>
      <c r="B801" s="33"/>
      <c r="C801" s="167"/>
      <c r="D801" s="73"/>
      <c r="E801" s="73"/>
      <c r="F801" s="73"/>
      <c r="G801" s="73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123"/>
      <c r="B802" s="33"/>
      <c r="C802" s="167"/>
      <c r="D802" s="73"/>
      <c r="E802" s="73"/>
      <c r="F802" s="73"/>
      <c r="G802" s="73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123"/>
      <c r="B803" s="33"/>
      <c r="C803" s="167"/>
      <c r="D803" s="73"/>
      <c r="E803" s="73"/>
      <c r="F803" s="73"/>
      <c r="G803" s="73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123"/>
      <c r="B804" s="33"/>
      <c r="C804" s="167"/>
      <c r="D804" s="73"/>
      <c r="E804" s="73"/>
      <c r="F804" s="73"/>
      <c r="G804" s="73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123"/>
      <c r="B805" s="33"/>
      <c r="C805" s="167"/>
      <c r="D805" s="73"/>
      <c r="E805" s="73"/>
      <c r="F805" s="73"/>
      <c r="G805" s="73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123"/>
      <c r="B806" s="33"/>
      <c r="C806" s="167"/>
      <c r="D806" s="73"/>
      <c r="E806" s="73"/>
      <c r="F806" s="73"/>
      <c r="G806" s="73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123"/>
      <c r="B807" s="33"/>
      <c r="C807" s="167"/>
      <c r="D807" s="73"/>
      <c r="E807" s="73"/>
      <c r="F807" s="73"/>
      <c r="G807" s="73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123"/>
      <c r="B808" s="33"/>
      <c r="C808" s="167"/>
      <c r="D808" s="73"/>
      <c r="E808" s="73"/>
      <c r="F808" s="73"/>
      <c r="G808" s="73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123"/>
      <c r="B809" s="33"/>
      <c r="C809" s="167"/>
      <c r="D809" s="73"/>
      <c r="E809" s="73"/>
      <c r="F809" s="73"/>
      <c r="G809" s="73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123"/>
      <c r="B810" s="33"/>
      <c r="C810" s="167"/>
      <c r="D810" s="73"/>
      <c r="E810" s="73"/>
      <c r="F810" s="73"/>
      <c r="G810" s="73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123"/>
      <c r="B811" s="33"/>
      <c r="C811" s="167"/>
      <c r="D811" s="73"/>
      <c r="E811" s="73"/>
      <c r="F811" s="73"/>
      <c r="G811" s="73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123"/>
      <c r="B812" s="33"/>
      <c r="C812" s="167"/>
      <c r="D812" s="73"/>
      <c r="E812" s="73"/>
      <c r="F812" s="73"/>
      <c r="G812" s="73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123"/>
      <c r="B813" s="33"/>
      <c r="C813" s="167"/>
      <c r="D813" s="73"/>
      <c r="E813" s="73"/>
      <c r="F813" s="73"/>
      <c r="G813" s="73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123"/>
      <c r="B814" s="33"/>
      <c r="C814" s="167"/>
      <c r="D814" s="73"/>
      <c r="E814" s="73"/>
      <c r="F814" s="73"/>
      <c r="G814" s="73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123"/>
      <c r="B815" s="33"/>
      <c r="C815" s="167"/>
      <c r="D815" s="73"/>
      <c r="E815" s="73"/>
      <c r="F815" s="73"/>
      <c r="G815" s="73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123"/>
      <c r="B816" s="33"/>
      <c r="C816" s="167"/>
      <c r="D816" s="73"/>
      <c r="E816" s="73"/>
      <c r="F816" s="73"/>
      <c r="G816" s="73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123"/>
      <c r="B817" s="33"/>
      <c r="C817" s="167"/>
      <c r="D817" s="73"/>
      <c r="E817" s="73"/>
      <c r="F817" s="73"/>
      <c r="G817" s="73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123"/>
      <c r="B818" s="33"/>
      <c r="C818" s="167"/>
      <c r="D818" s="73"/>
      <c r="E818" s="73"/>
      <c r="F818" s="73"/>
      <c r="G818" s="73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123"/>
      <c r="B819" s="33"/>
      <c r="C819" s="167"/>
      <c r="D819" s="73"/>
      <c r="E819" s="73"/>
      <c r="F819" s="73"/>
      <c r="G819" s="73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123"/>
      <c r="B820" s="33"/>
      <c r="C820" s="167"/>
      <c r="D820" s="73"/>
      <c r="E820" s="73"/>
      <c r="F820" s="73"/>
      <c r="G820" s="73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123"/>
      <c r="B821" s="33"/>
      <c r="C821" s="167"/>
      <c r="D821" s="73"/>
      <c r="E821" s="73"/>
      <c r="F821" s="73"/>
      <c r="G821" s="73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123"/>
      <c r="B822" s="33"/>
      <c r="C822" s="167"/>
      <c r="D822" s="73"/>
      <c r="E822" s="73"/>
      <c r="F822" s="73"/>
      <c r="G822" s="73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123"/>
      <c r="B823" s="33"/>
      <c r="C823" s="167"/>
      <c r="D823" s="73"/>
      <c r="E823" s="73"/>
      <c r="F823" s="73"/>
      <c r="G823" s="73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123"/>
      <c r="B824" s="33"/>
      <c r="C824" s="167"/>
      <c r="D824" s="73"/>
      <c r="E824" s="73"/>
      <c r="F824" s="73"/>
      <c r="G824" s="73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123"/>
      <c r="B825" s="33"/>
      <c r="C825" s="167"/>
      <c r="D825" s="73"/>
      <c r="E825" s="73"/>
      <c r="F825" s="73"/>
      <c r="G825" s="73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123"/>
      <c r="B826" s="33"/>
      <c r="C826" s="167"/>
      <c r="D826" s="73"/>
      <c r="E826" s="73"/>
      <c r="F826" s="73"/>
      <c r="G826" s="73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123"/>
      <c r="B827" s="33"/>
      <c r="C827" s="167"/>
      <c r="D827" s="73"/>
      <c r="E827" s="73"/>
      <c r="F827" s="73"/>
      <c r="G827" s="73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123"/>
      <c r="B828" s="33"/>
      <c r="C828" s="167"/>
      <c r="D828" s="73"/>
      <c r="E828" s="73"/>
      <c r="F828" s="73"/>
      <c r="G828" s="73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123"/>
      <c r="B829" s="33"/>
      <c r="C829" s="167"/>
      <c r="D829" s="73"/>
      <c r="E829" s="73"/>
      <c r="F829" s="73"/>
      <c r="G829" s="73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123"/>
      <c r="B830" s="33"/>
      <c r="C830" s="167"/>
      <c r="D830" s="73"/>
      <c r="E830" s="73"/>
      <c r="F830" s="73"/>
      <c r="G830" s="73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123"/>
      <c r="B831" s="33"/>
      <c r="C831" s="167"/>
      <c r="D831" s="73"/>
      <c r="E831" s="73"/>
      <c r="F831" s="73"/>
      <c r="G831" s="73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123"/>
      <c r="B832" s="33"/>
      <c r="C832" s="167"/>
      <c r="D832" s="73"/>
      <c r="E832" s="73"/>
      <c r="F832" s="73"/>
      <c r="G832" s="73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123"/>
      <c r="B833" s="33"/>
      <c r="C833" s="167"/>
      <c r="D833" s="73"/>
      <c r="E833" s="73"/>
      <c r="F833" s="73"/>
      <c r="G833" s="73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123"/>
      <c r="B834" s="33"/>
      <c r="C834" s="167"/>
      <c r="D834" s="73"/>
      <c r="E834" s="73"/>
      <c r="F834" s="73"/>
      <c r="G834" s="73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123"/>
      <c r="B835" s="33"/>
      <c r="C835" s="167"/>
      <c r="D835" s="73"/>
      <c r="E835" s="73"/>
      <c r="F835" s="73"/>
      <c r="G835" s="73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123"/>
      <c r="B836" s="33"/>
      <c r="C836" s="167"/>
      <c r="D836" s="73"/>
      <c r="E836" s="73"/>
      <c r="F836" s="73"/>
      <c r="G836" s="73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123"/>
      <c r="B837" s="33"/>
      <c r="C837" s="167"/>
      <c r="D837" s="73"/>
      <c r="E837" s="73"/>
      <c r="F837" s="73"/>
      <c r="G837" s="73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123"/>
      <c r="B838" s="33"/>
      <c r="C838" s="167"/>
      <c r="D838" s="73"/>
      <c r="E838" s="73"/>
      <c r="F838" s="73"/>
      <c r="G838" s="73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123"/>
      <c r="B839" s="33"/>
      <c r="C839" s="167"/>
      <c r="D839" s="73"/>
      <c r="E839" s="73"/>
      <c r="F839" s="73"/>
      <c r="G839" s="73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123"/>
      <c r="B840" s="33"/>
      <c r="C840" s="167"/>
      <c r="D840" s="73"/>
      <c r="E840" s="73"/>
      <c r="F840" s="73"/>
      <c r="G840" s="73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123"/>
      <c r="B841" s="33"/>
      <c r="C841" s="167"/>
      <c r="D841" s="73"/>
      <c r="E841" s="73"/>
      <c r="F841" s="73"/>
      <c r="G841" s="73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123"/>
      <c r="B842" s="33"/>
      <c r="C842" s="167"/>
      <c r="D842" s="73"/>
      <c r="E842" s="73"/>
      <c r="F842" s="73"/>
      <c r="G842" s="73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123"/>
      <c r="B843" s="33"/>
      <c r="C843" s="167"/>
      <c r="D843" s="73"/>
      <c r="E843" s="73"/>
      <c r="F843" s="73"/>
      <c r="G843" s="73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123"/>
      <c r="B844" s="33"/>
      <c r="C844" s="167"/>
      <c r="D844" s="73"/>
      <c r="E844" s="73"/>
      <c r="F844" s="73"/>
      <c r="G844" s="73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123"/>
      <c r="B845" s="33"/>
      <c r="C845" s="167"/>
      <c r="D845" s="73"/>
      <c r="E845" s="73"/>
      <c r="F845" s="73"/>
      <c r="G845" s="73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123"/>
      <c r="B846" s="33"/>
      <c r="C846" s="167"/>
      <c r="D846" s="73"/>
      <c r="E846" s="73"/>
      <c r="F846" s="73"/>
      <c r="G846" s="73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123"/>
      <c r="B847" s="33"/>
      <c r="C847" s="167"/>
      <c r="D847" s="73"/>
      <c r="E847" s="73"/>
      <c r="F847" s="73"/>
      <c r="G847" s="73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123"/>
      <c r="B848" s="33"/>
      <c r="C848" s="167"/>
      <c r="D848" s="73"/>
      <c r="E848" s="73"/>
      <c r="F848" s="73"/>
      <c r="G848" s="73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123"/>
      <c r="B849" s="33"/>
      <c r="C849" s="167"/>
      <c r="D849" s="73"/>
      <c r="E849" s="73"/>
      <c r="F849" s="73"/>
      <c r="G849" s="73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123"/>
      <c r="B850" s="33"/>
      <c r="C850" s="167"/>
      <c r="D850" s="73"/>
      <c r="E850" s="73"/>
      <c r="F850" s="73"/>
      <c r="G850" s="73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123"/>
      <c r="B851" s="33"/>
      <c r="C851" s="167"/>
      <c r="D851" s="73"/>
      <c r="E851" s="73"/>
      <c r="F851" s="73"/>
      <c r="G851" s="73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123"/>
      <c r="B852" s="33"/>
      <c r="C852" s="167"/>
      <c r="D852" s="73"/>
      <c r="E852" s="73"/>
      <c r="F852" s="73"/>
      <c r="G852" s="73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123"/>
      <c r="B853" s="33"/>
      <c r="C853" s="167"/>
      <c r="D853" s="73"/>
      <c r="E853" s="73"/>
      <c r="F853" s="73"/>
      <c r="G853" s="73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123"/>
      <c r="B854" s="33"/>
      <c r="C854" s="167"/>
      <c r="D854" s="73"/>
      <c r="E854" s="73"/>
      <c r="F854" s="73"/>
      <c r="G854" s="73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123"/>
      <c r="B855" s="33"/>
      <c r="C855" s="167"/>
      <c r="D855" s="73"/>
      <c r="E855" s="73"/>
      <c r="F855" s="73"/>
      <c r="G855" s="73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123"/>
      <c r="B856" s="33"/>
      <c r="C856" s="167"/>
      <c r="D856" s="73"/>
      <c r="E856" s="73"/>
      <c r="F856" s="73"/>
      <c r="G856" s="73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123"/>
      <c r="B857" s="33"/>
      <c r="C857" s="167"/>
      <c r="D857" s="73"/>
      <c r="E857" s="73"/>
      <c r="F857" s="73"/>
      <c r="G857" s="73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123"/>
      <c r="B858" s="33"/>
      <c r="C858" s="167"/>
      <c r="D858" s="73"/>
      <c r="E858" s="73"/>
      <c r="F858" s="73"/>
      <c r="G858" s="73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123"/>
      <c r="B859" s="33"/>
      <c r="C859" s="167"/>
      <c r="D859" s="73"/>
      <c r="E859" s="73"/>
      <c r="F859" s="73"/>
      <c r="G859" s="73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123"/>
      <c r="B860" s="33"/>
      <c r="C860" s="167"/>
      <c r="D860" s="73"/>
      <c r="E860" s="73"/>
      <c r="F860" s="73"/>
      <c r="G860" s="73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123"/>
      <c r="B861" s="33"/>
      <c r="C861" s="167"/>
      <c r="D861" s="73"/>
      <c r="E861" s="73"/>
      <c r="F861" s="73"/>
      <c r="G861" s="73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123"/>
      <c r="B862" s="33"/>
      <c r="C862" s="167"/>
      <c r="D862" s="73"/>
      <c r="E862" s="73"/>
      <c r="F862" s="73"/>
      <c r="G862" s="73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123"/>
      <c r="B863" s="33"/>
      <c r="C863" s="167"/>
      <c r="D863" s="73"/>
      <c r="E863" s="73"/>
      <c r="F863" s="73"/>
      <c r="G863" s="73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123"/>
      <c r="B864" s="33"/>
      <c r="C864" s="167"/>
      <c r="D864" s="73"/>
      <c r="E864" s="73"/>
      <c r="F864" s="73"/>
      <c r="G864" s="73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123"/>
      <c r="B865" s="33"/>
      <c r="C865" s="167"/>
      <c r="D865" s="73"/>
      <c r="E865" s="73"/>
      <c r="F865" s="73"/>
      <c r="G865" s="73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123"/>
      <c r="B866" s="33"/>
      <c r="C866" s="167"/>
      <c r="D866" s="73"/>
      <c r="E866" s="73"/>
      <c r="F866" s="73"/>
      <c r="G866" s="73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123"/>
      <c r="B867" s="33"/>
      <c r="C867" s="167"/>
      <c r="D867" s="73"/>
      <c r="E867" s="73"/>
      <c r="F867" s="73"/>
      <c r="G867" s="73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123"/>
      <c r="B868" s="33"/>
      <c r="C868" s="167"/>
      <c r="D868" s="73"/>
      <c r="E868" s="73"/>
      <c r="F868" s="73"/>
      <c r="G868" s="73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123"/>
      <c r="B869" s="33"/>
      <c r="C869" s="167"/>
      <c r="D869" s="73"/>
      <c r="E869" s="73"/>
      <c r="F869" s="73"/>
      <c r="G869" s="73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123"/>
      <c r="B870" s="33"/>
      <c r="C870" s="167"/>
      <c r="D870" s="73"/>
      <c r="E870" s="73"/>
      <c r="F870" s="73"/>
      <c r="G870" s="73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123"/>
      <c r="B871" s="33"/>
      <c r="C871" s="167"/>
      <c r="D871" s="73"/>
      <c r="E871" s="73"/>
      <c r="F871" s="73"/>
      <c r="G871" s="73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123"/>
      <c r="B872" s="33"/>
      <c r="C872" s="167"/>
      <c r="D872" s="73"/>
      <c r="E872" s="73"/>
      <c r="F872" s="73"/>
      <c r="G872" s="73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123"/>
      <c r="B873" s="33"/>
      <c r="C873" s="167"/>
      <c r="D873" s="73"/>
      <c r="E873" s="73"/>
      <c r="F873" s="73"/>
      <c r="G873" s="73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123"/>
      <c r="B874" s="33"/>
      <c r="C874" s="167"/>
      <c r="D874" s="73"/>
      <c r="E874" s="73"/>
      <c r="F874" s="73"/>
      <c r="G874" s="73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123"/>
      <c r="B875" s="33"/>
      <c r="C875" s="167"/>
      <c r="D875" s="73"/>
      <c r="E875" s="73"/>
      <c r="F875" s="73"/>
      <c r="G875" s="73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123"/>
      <c r="B876" s="33"/>
      <c r="C876" s="167"/>
      <c r="D876" s="73"/>
      <c r="E876" s="73"/>
      <c r="F876" s="73"/>
      <c r="G876" s="73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123"/>
      <c r="B877" s="33"/>
      <c r="C877" s="167"/>
      <c r="D877" s="73"/>
      <c r="E877" s="73"/>
      <c r="F877" s="73"/>
      <c r="G877" s="73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123"/>
      <c r="B878" s="33"/>
      <c r="C878" s="167"/>
      <c r="D878" s="73"/>
      <c r="E878" s="73"/>
      <c r="F878" s="73"/>
      <c r="G878" s="73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123"/>
      <c r="B879" s="33"/>
      <c r="C879" s="167"/>
      <c r="D879" s="73"/>
      <c r="E879" s="73"/>
      <c r="F879" s="73"/>
      <c r="G879" s="73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123"/>
      <c r="B880" s="33"/>
      <c r="C880" s="167"/>
      <c r="D880" s="73"/>
      <c r="E880" s="73"/>
      <c r="F880" s="73"/>
      <c r="G880" s="73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123"/>
      <c r="B881" s="33"/>
      <c r="C881" s="167"/>
      <c r="D881" s="73"/>
      <c r="E881" s="73"/>
      <c r="F881" s="73"/>
      <c r="G881" s="73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123"/>
      <c r="B882" s="33"/>
      <c r="C882" s="167"/>
      <c r="D882" s="73"/>
      <c r="E882" s="73"/>
      <c r="F882" s="73"/>
      <c r="G882" s="73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123"/>
      <c r="B883" s="33"/>
      <c r="C883" s="167"/>
      <c r="D883" s="73"/>
      <c r="E883" s="73"/>
      <c r="F883" s="73"/>
      <c r="G883" s="73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123"/>
      <c r="B884" s="33"/>
      <c r="C884" s="167"/>
      <c r="D884" s="73"/>
      <c r="E884" s="73"/>
      <c r="F884" s="73"/>
      <c r="G884" s="73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123"/>
      <c r="B885" s="33"/>
      <c r="C885" s="167"/>
      <c r="D885" s="73"/>
      <c r="E885" s="73"/>
      <c r="F885" s="73"/>
      <c r="G885" s="73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123"/>
      <c r="B886" s="33"/>
      <c r="C886" s="167"/>
      <c r="D886" s="73"/>
      <c r="E886" s="73"/>
      <c r="F886" s="73"/>
      <c r="G886" s="73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123"/>
      <c r="B887" s="33"/>
      <c r="C887" s="167"/>
      <c r="D887" s="73"/>
      <c r="E887" s="73"/>
      <c r="F887" s="73"/>
      <c r="G887" s="73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123"/>
      <c r="B888" s="33"/>
      <c r="C888" s="167"/>
      <c r="D888" s="73"/>
      <c r="E888" s="73"/>
      <c r="F888" s="73"/>
      <c r="G888" s="73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123"/>
      <c r="B889" s="33"/>
      <c r="C889" s="167"/>
      <c r="D889" s="73"/>
      <c r="E889" s="73"/>
      <c r="F889" s="73"/>
      <c r="G889" s="73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123"/>
      <c r="B890" s="33"/>
      <c r="C890" s="167"/>
      <c r="D890" s="73"/>
      <c r="E890" s="73"/>
      <c r="F890" s="73"/>
      <c r="G890" s="73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123"/>
      <c r="B891" s="33"/>
      <c r="C891" s="167"/>
      <c r="D891" s="73"/>
      <c r="E891" s="73"/>
      <c r="F891" s="73"/>
      <c r="G891" s="73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123"/>
      <c r="B892" s="33"/>
      <c r="C892" s="167"/>
      <c r="D892" s="73"/>
      <c r="E892" s="73"/>
      <c r="F892" s="73"/>
      <c r="G892" s="73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123"/>
      <c r="B893" s="33"/>
      <c r="C893" s="167"/>
      <c r="D893" s="73"/>
      <c r="E893" s="73"/>
      <c r="F893" s="73"/>
      <c r="G893" s="73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123"/>
      <c r="B894" s="33"/>
      <c r="C894" s="167"/>
      <c r="D894" s="73"/>
      <c r="E894" s="73"/>
      <c r="F894" s="73"/>
      <c r="G894" s="73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123"/>
      <c r="B895" s="33"/>
      <c r="C895" s="167"/>
      <c r="D895" s="73"/>
      <c r="E895" s="73"/>
      <c r="F895" s="73"/>
      <c r="G895" s="73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123"/>
      <c r="B896" s="33"/>
      <c r="C896" s="167"/>
      <c r="D896" s="73"/>
      <c r="E896" s="73"/>
      <c r="F896" s="73"/>
      <c r="G896" s="73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123"/>
      <c r="B897" s="33"/>
      <c r="C897" s="167"/>
      <c r="D897" s="73"/>
      <c r="E897" s="73"/>
      <c r="F897" s="73"/>
      <c r="G897" s="73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123"/>
      <c r="B898" s="33"/>
      <c r="C898" s="167"/>
      <c r="D898" s="73"/>
      <c r="E898" s="73"/>
      <c r="F898" s="73"/>
      <c r="G898" s="73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123"/>
      <c r="B899" s="33"/>
      <c r="C899" s="167"/>
      <c r="D899" s="73"/>
      <c r="E899" s="73"/>
      <c r="F899" s="73"/>
      <c r="G899" s="73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123"/>
      <c r="B900" s="33"/>
      <c r="C900" s="167"/>
      <c r="D900" s="73"/>
      <c r="E900" s="73"/>
      <c r="F900" s="73"/>
      <c r="G900" s="73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123"/>
      <c r="B901" s="33"/>
      <c r="C901" s="167"/>
      <c r="D901" s="73"/>
      <c r="E901" s="73"/>
      <c r="F901" s="73"/>
      <c r="G901" s="73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123"/>
      <c r="B902" s="33"/>
      <c r="C902" s="167"/>
      <c r="D902" s="73"/>
      <c r="E902" s="73"/>
      <c r="F902" s="73"/>
      <c r="G902" s="73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123"/>
      <c r="B903" s="33"/>
      <c r="C903" s="167"/>
      <c r="D903" s="73"/>
      <c r="E903" s="73"/>
      <c r="F903" s="73"/>
      <c r="G903" s="73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123"/>
      <c r="B904" s="33"/>
      <c r="C904" s="167"/>
      <c r="D904" s="73"/>
      <c r="E904" s="73"/>
      <c r="F904" s="73"/>
      <c r="G904" s="73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123"/>
      <c r="B905" s="33"/>
      <c r="C905" s="167"/>
      <c r="D905" s="73"/>
      <c r="E905" s="73"/>
      <c r="F905" s="73"/>
      <c r="G905" s="73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123"/>
      <c r="B906" s="33"/>
      <c r="C906" s="167"/>
      <c r="D906" s="73"/>
      <c r="E906" s="73"/>
      <c r="F906" s="73"/>
      <c r="G906" s="73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123"/>
      <c r="B907" s="33"/>
      <c r="C907" s="167"/>
      <c r="D907" s="73"/>
      <c r="E907" s="73"/>
      <c r="F907" s="73"/>
      <c r="G907" s="73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123"/>
      <c r="B908" s="33"/>
      <c r="C908" s="167"/>
      <c r="D908" s="73"/>
      <c r="E908" s="73"/>
      <c r="F908" s="73"/>
      <c r="G908" s="73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123"/>
      <c r="B909" s="33"/>
      <c r="C909" s="167"/>
      <c r="D909" s="73"/>
      <c r="E909" s="73"/>
      <c r="F909" s="73"/>
      <c r="G909" s="73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123"/>
      <c r="B910" s="33"/>
      <c r="C910" s="167"/>
      <c r="D910" s="73"/>
      <c r="E910" s="73"/>
      <c r="F910" s="73"/>
      <c r="G910" s="73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123"/>
      <c r="B911" s="33"/>
      <c r="C911" s="167"/>
      <c r="D911" s="73"/>
      <c r="E911" s="73"/>
      <c r="F911" s="73"/>
      <c r="G911" s="73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123"/>
      <c r="B912" s="33"/>
      <c r="C912" s="167"/>
      <c r="D912" s="73"/>
      <c r="E912" s="73"/>
      <c r="F912" s="73"/>
      <c r="G912" s="73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123"/>
      <c r="B913" s="33"/>
      <c r="C913" s="167"/>
      <c r="D913" s="73"/>
      <c r="E913" s="73"/>
      <c r="F913" s="73"/>
      <c r="G913" s="73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123"/>
      <c r="B914" s="33"/>
      <c r="C914" s="167"/>
      <c r="D914" s="73"/>
      <c r="E914" s="73"/>
      <c r="F914" s="73"/>
      <c r="G914" s="73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123"/>
      <c r="B915" s="33"/>
      <c r="C915" s="167"/>
      <c r="D915" s="73"/>
      <c r="E915" s="73"/>
      <c r="F915" s="73"/>
      <c r="G915" s="73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123"/>
      <c r="B916" s="33"/>
      <c r="C916" s="167"/>
      <c r="D916" s="73"/>
      <c r="E916" s="73"/>
      <c r="F916" s="73"/>
      <c r="G916" s="73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123"/>
      <c r="B917" s="33"/>
      <c r="C917" s="167"/>
      <c r="D917" s="73"/>
      <c r="E917" s="73"/>
      <c r="F917" s="73"/>
      <c r="G917" s="73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123"/>
      <c r="B918" s="33"/>
      <c r="C918" s="167"/>
      <c r="D918" s="73"/>
      <c r="E918" s="73"/>
      <c r="F918" s="73"/>
      <c r="G918" s="73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123"/>
      <c r="B919" s="33"/>
      <c r="C919" s="167"/>
      <c r="D919" s="73"/>
      <c r="E919" s="73"/>
      <c r="F919" s="73"/>
      <c r="G919" s="73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123"/>
      <c r="B920" s="33"/>
      <c r="C920" s="167"/>
      <c r="D920" s="73"/>
      <c r="E920" s="73"/>
      <c r="F920" s="73"/>
      <c r="G920" s="73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123"/>
      <c r="B921" s="33"/>
      <c r="C921" s="167"/>
      <c r="D921" s="73"/>
      <c r="E921" s="73"/>
      <c r="F921" s="73"/>
      <c r="G921" s="73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123"/>
      <c r="B922" s="33"/>
      <c r="C922" s="167"/>
      <c r="D922" s="73"/>
      <c r="E922" s="73"/>
      <c r="F922" s="73"/>
      <c r="G922" s="73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123"/>
      <c r="B923" s="33"/>
      <c r="C923" s="167"/>
      <c r="D923" s="73"/>
      <c r="E923" s="73"/>
      <c r="F923" s="73"/>
      <c r="G923" s="73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123"/>
      <c r="B924" s="33"/>
      <c r="C924" s="167"/>
      <c r="D924" s="73"/>
      <c r="E924" s="73"/>
      <c r="F924" s="73"/>
      <c r="G924" s="73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123"/>
      <c r="B925" s="33"/>
      <c r="C925" s="167"/>
      <c r="D925" s="73"/>
      <c r="E925" s="73"/>
      <c r="F925" s="73"/>
      <c r="G925" s="73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123"/>
      <c r="B926" s="33"/>
      <c r="C926" s="167"/>
      <c r="D926" s="73"/>
      <c r="E926" s="73"/>
      <c r="F926" s="73"/>
      <c r="G926" s="73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123"/>
      <c r="B927" s="33"/>
      <c r="C927" s="167"/>
      <c r="D927" s="73"/>
      <c r="E927" s="73"/>
      <c r="F927" s="73"/>
      <c r="G927" s="73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123"/>
      <c r="B928" s="33"/>
      <c r="C928" s="167"/>
      <c r="D928" s="73"/>
      <c r="E928" s="73"/>
      <c r="F928" s="73"/>
      <c r="G928" s="73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123"/>
      <c r="B929" s="33"/>
      <c r="C929" s="167"/>
      <c r="D929" s="73"/>
      <c r="E929" s="73"/>
      <c r="F929" s="73"/>
      <c r="G929" s="73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123"/>
      <c r="B930" s="33"/>
      <c r="C930" s="167"/>
      <c r="D930" s="73"/>
      <c r="E930" s="73"/>
      <c r="F930" s="73"/>
      <c r="G930" s="73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123"/>
      <c r="B931" s="33"/>
      <c r="C931" s="167"/>
      <c r="D931" s="73"/>
      <c r="E931" s="73"/>
      <c r="F931" s="73"/>
      <c r="G931" s="73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123"/>
      <c r="B932" s="33"/>
      <c r="C932" s="167"/>
      <c r="D932" s="73"/>
      <c r="E932" s="73"/>
      <c r="F932" s="73"/>
      <c r="G932" s="73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123"/>
      <c r="B933" s="33"/>
      <c r="C933" s="167"/>
      <c r="D933" s="73"/>
      <c r="E933" s="73"/>
      <c r="F933" s="73"/>
      <c r="G933" s="73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123"/>
      <c r="B934" s="33"/>
      <c r="C934" s="167"/>
      <c r="D934" s="73"/>
      <c r="E934" s="73"/>
      <c r="F934" s="73"/>
      <c r="G934" s="73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123"/>
      <c r="B935" s="33"/>
      <c r="C935" s="167"/>
      <c r="D935" s="73"/>
      <c r="E935" s="73"/>
      <c r="F935" s="73"/>
      <c r="G935" s="73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123"/>
      <c r="B936" s="33"/>
      <c r="C936" s="167"/>
      <c r="D936" s="73"/>
      <c r="E936" s="73"/>
      <c r="F936" s="73"/>
      <c r="G936" s="73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123"/>
      <c r="B937" s="33"/>
      <c r="C937" s="167"/>
      <c r="D937" s="73"/>
      <c r="E937" s="73"/>
      <c r="F937" s="73"/>
      <c r="G937" s="73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123"/>
      <c r="B938" s="33"/>
      <c r="C938" s="167"/>
      <c r="D938" s="73"/>
      <c r="E938" s="73"/>
      <c r="F938" s="73"/>
      <c r="G938" s="73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123"/>
      <c r="B939" s="33"/>
      <c r="C939" s="167"/>
      <c r="D939" s="73"/>
      <c r="E939" s="73"/>
      <c r="F939" s="73"/>
      <c r="G939" s="73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123"/>
      <c r="B940" s="33"/>
      <c r="C940" s="167"/>
      <c r="D940" s="73"/>
      <c r="E940" s="73"/>
      <c r="F940" s="73"/>
      <c r="G940" s="73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123"/>
      <c r="B941" s="33"/>
      <c r="C941" s="167"/>
      <c r="D941" s="73"/>
      <c r="E941" s="73"/>
      <c r="F941" s="73"/>
      <c r="G941" s="73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123"/>
      <c r="B942" s="33"/>
      <c r="C942" s="167"/>
      <c r="D942" s="73"/>
      <c r="E942" s="73"/>
      <c r="F942" s="73"/>
      <c r="G942" s="73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123"/>
      <c r="B943" s="33"/>
      <c r="C943" s="167"/>
      <c r="D943" s="73"/>
      <c r="E943" s="73"/>
      <c r="F943" s="73"/>
      <c r="G943" s="73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123"/>
      <c r="B944" s="33"/>
      <c r="C944" s="167"/>
      <c r="D944" s="73"/>
      <c r="E944" s="73"/>
      <c r="F944" s="73"/>
      <c r="G944" s="73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123"/>
      <c r="B945" s="33"/>
      <c r="C945" s="167"/>
      <c r="D945" s="73"/>
      <c r="E945" s="73"/>
      <c r="F945" s="73"/>
      <c r="G945" s="73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123"/>
      <c r="B946" s="33"/>
      <c r="C946" s="167"/>
      <c r="D946" s="73"/>
      <c r="E946" s="73"/>
      <c r="F946" s="73"/>
      <c r="G946" s="73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123"/>
      <c r="B947" s="33"/>
      <c r="C947" s="167"/>
      <c r="D947" s="73"/>
      <c r="E947" s="73"/>
      <c r="F947" s="73"/>
      <c r="G947" s="73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123"/>
      <c r="B948" s="33"/>
      <c r="C948" s="167"/>
      <c r="D948" s="73"/>
      <c r="E948" s="73"/>
      <c r="F948" s="73"/>
      <c r="G948" s="73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123"/>
      <c r="B949" s="33"/>
      <c r="C949" s="167"/>
      <c r="D949" s="73"/>
      <c r="E949" s="73"/>
      <c r="F949" s="73"/>
      <c r="G949" s="73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123"/>
      <c r="B950" s="33"/>
      <c r="C950" s="167"/>
      <c r="D950" s="73"/>
      <c r="E950" s="73"/>
      <c r="F950" s="73"/>
      <c r="G950" s="73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123"/>
      <c r="B951" s="33"/>
      <c r="C951" s="167"/>
      <c r="D951" s="73"/>
      <c r="E951" s="73"/>
      <c r="F951" s="73"/>
      <c r="G951" s="73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123"/>
      <c r="B952" s="33"/>
      <c r="C952" s="167"/>
      <c r="D952" s="73"/>
      <c r="E952" s="73"/>
      <c r="F952" s="73"/>
      <c r="G952" s="73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123"/>
      <c r="B953" s="33"/>
      <c r="C953" s="167"/>
      <c r="D953" s="73"/>
      <c r="E953" s="73"/>
      <c r="F953" s="73"/>
      <c r="G953" s="73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123"/>
      <c r="B954" s="33"/>
      <c r="C954" s="167"/>
      <c r="D954" s="73"/>
      <c r="E954" s="73"/>
      <c r="F954" s="73"/>
      <c r="G954" s="73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123"/>
      <c r="B955" s="33"/>
      <c r="C955" s="167"/>
      <c r="D955" s="73"/>
      <c r="E955" s="73"/>
      <c r="F955" s="73"/>
      <c r="G955" s="73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123"/>
      <c r="B956" s="33"/>
      <c r="C956" s="167"/>
      <c r="D956" s="73"/>
      <c r="E956" s="73"/>
      <c r="F956" s="73"/>
      <c r="G956" s="73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123"/>
      <c r="B957" s="33"/>
      <c r="C957" s="167"/>
      <c r="D957" s="73"/>
      <c r="E957" s="73"/>
      <c r="F957" s="73"/>
      <c r="G957" s="73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123"/>
      <c r="B958" s="33"/>
      <c r="C958" s="167"/>
      <c r="D958" s="73"/>
      <c r="E958" s="73"/>
      <c r="F958" s="73"/>
      <c r="G958" s="73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123"/>
      <c r="B959" s="33"/>
      <c r="C959" s="167"/>
      <c r="D959" s="73"/>
      <c r="E959" s="73"/>
      <c r="F959" s="73"/>
      <c r="G959" s="73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123"/>
      <c r="B960" s="33"/>
      <c r="C960" s="167"/>
      <c r="D960" s="73"/>
      <c r="E960" s="73"/>
      <c r="F960" s="73"/>
      <c r="G960" s="73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123"/>
      <c r="B961" s="33"/>
      <c r="C961" s="167"/>
      <c r="D961" s="73"/>
      <c r="E961" s="73"/>
      <c r="F961" s="73"/>
      <c r="G961" s="73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123"/>
      <c r="B962" s="33"/>
      <c r="C962" s="167"/>
      <c r="D962" s="73"/>
      <c r="E962" s="73"/>
      <c r="F962" s="73"/>
      <c r="G962" s="73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123"/>
      <c r="B963" s="33"/>
      <c r="C963" s="167"/>
      <c r="D963" s="73"/>
      <c r="E963" s="73"/>
      <c r="F963" s="73"/>
      <c r="G963" s="73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123"/>
      <c r="B964" s="33"/>
      <c r="C964" s="167"/>
      <c r="D964" s="73"/>
      <c r="E964" s="73"/>
      <c r="F964" s="73"/>
      <c r="G964" s="73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123"/>
      <c r="B965" s="33"/>
      <c r="C965" s="167"/>
      <c r="D965" s="73"/>
      <c r="E965" s="73"/>
      <c r="F965" s="73"/>
      <c r="G965" s="73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123"/>
      <c r="B966" s="33"/>
      <c r="C966" s="167"/>
      <c r="D966" s="73"/>
      <c r="E966" s="73"/>
      <c r="F966" s="73"/>
      <c r="G966" s="73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123"/>
      <c r="B967" s="33"/>
      <c r="C967" s="167"/>
      <c r="D967" s="73"/>
      <c r="E967" s="73"/>
      <c r="F967" s="73"/>
      <c r="G967" s="73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123"/>
      <c r="B968" s="33"/>
      <c r="C968" s="167"/>
      <c r="D968" s="73"/>
      <c r="E968" s="73"/>
      <c r="F968" s="73"/>
      <c r="G968" s="73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123"/>
      <c r="B969" s="33"/>
      <c r="C969" s="167"/>
      <c r="D969" s="73"/>
      <c r="E969" s="73"/>
      <c r="F969" s="73"/>
      <c r="G969" s="73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123"/>
      <c r="B970" s="33"/>
      <c r="C970" s="167"/>
      <c r="D970" s="73"/>
      <c r="E970" s="73"/>
      <c r="F970" s="73"/>
      <c r="G970" s="73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123"/>
      <c r="B971" s="33"/>
      <c r="C971" s="167"/>
      <c r="D971" s="73"/>
      <c r="E971" s="73"/>
      <c r="F971" s="73"/>
      <c r="G971" s="73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123"/>
      <c r="B972" s="33"/>
      <c r="C972" s="167"/>
      <c r="D972" s="73"/>
      <c r="E972" s="73"/>
      <c r="F972" s="73"/>
      <c r="G972" s="73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123"/>
      <c r="B973" s="33"/>
      <c r="C973" s="167"/>
      <c r="D973" s="73"/>
      <c r="E973" s="73"/>
      <c r="F973" s="73"/>
      <c r="G973" s="73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123"/>
      <c r="B974" s="33"/>
      <c r="C974" s="167"/>
      <c r="D974" s="73"/>
      <c r="E974" s="73"/>
      <c r="F974" s="73"/>
      <c r="G974" s="73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123"/>
      <c r="B975" s="33"/>
      <c r="C975" s="167"/>
      <c r="D975" s="73"/>
      <c r="E975" s="73"/>
      <c r="F975" s="73"/>
      <c r="G975" s="73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123"/>
      <c r="B976" s="33"/>
      <c r="C976" s="167"/>
      <c r="D976" s="73"/>
      <c r="E976" s="73"/>
      <c r="F976" s="73"/>
      <c r="G976" s="73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123"/>
      <c r="B977" s="33"/>
      <c r="C977" s="167"/>
      <c r="D977" s="73"/>
      <c r="E977" s="73"/>
      <c r="F977" s="73"/>
      <c r="G977" s="73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123"/>
      <c r="B978" s="33"/>
      <c r="C978" s="167"/>
      <c r="D978" s="73"/>
      <c r="E978" s="73"/>
      <c r="F978" s="73"/>
      <c r="G978" s="73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123"/>
      <c r="B979" s="33"/>
      <c r="C979" s="167"/>
      <c r="D979" s="73"/>
      <c r="E979" s="73"/>
      <c r="F979" s="73"/>
      <c r="G979" s="73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123"/>
      <c r="B980" s="33"/>
      <c r="C980" s="167"/>
      <c r="D980" s="73"/>
      <c r="E980" s="73"/>
      <c r="F980" s="73"/>
      <c r="G980" s="73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123"/>
      <c r="B981" s="33"/>
      <c r="C981" s="167"/>
      <c r="D981" s="73"/>
      <c r="E981" s="73"/>
      <c r="F981" s="73"/>
      <c r="G981" s="73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123"/>
      <c r="B982" s="33"/>
      <c r="C982" s="167"/>
      <c r="D982" s="73"/>
      <c r="E982" s="73"/>
      <c r="F982" s="73"/>
      <c r="G982" s="73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123"/>
      <c r="B983" s="33"/>
      <c r="C983" s="167"/>
      <c r="D983" s="73"/>
      <c r="E983" s="73"/>
      <c r="F983" s="73"/>
      <c r="G983" s="73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123"/>
      <c r="B984" s="33"/>
      <c r="C984" s="167"/>
      <c r="D984" s="73"/>
      <c r="E984" s="73"/>
      <c r="F984" s="73"/>
      <c r="G984" s="73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123"/>
      <c r="B985" s="33"/>
      <c r="C985" s="167"/>
      <c r="D985" s="73"/>
      <c r="E985" s="73"/>
      <c r="F985" s="73"/>
      <c r="G985" s="73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123"/>
      <c r="B986" s="33"/>
      <c r="C986" s="167"/>
      <c r="D986" s="73"/>
      <c r="E986" s="73"/>
      <c r="F986" s="73"/>
      <c r="G986" s="73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123"/>
      <c r="B987" s="33"/>
      <c r="C987" s="167"/>
      <c r="D987" s="73"/>
      <c r="E987" s="73"/>
      <c r="F987" s="73"/>
      <c r="G987" s="73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123"/>
      <c r="B988" s="33"/>
      <c r="C988" s="167"/>
      <c r="D988" s="73"/>
      <c r="E988" s="73"/>
      <c r="F988" s="73"/>
      <c r="G988" s="73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123"/>
      <c r="B989" s="33"/>
      <c r="C989" s="167"/>
      <c r="D989" s="73"/>
      <c r="E989" s="73"/>
      <c r="F989" s="73"/>
      <c r="G989" s="73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123"/>
      <c r="B990" s="33"/>
      <c r="C990" s="167"/>
      <c r="D990" s="73"/>
      <c r="E990" s="73"/>
      <c r="F990" s="73"/>
      <c r="G990" s="73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123"/>
      <c r="B991" s="33"/>
      <c r="C991" s="167"/>
      <c r="D991" s="73"/>
      <c r="E991" s="73"/>
      <c r="F991" s="73"/>
      <c r="G991" s="73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123"/>
      <c r="B992" s="33"/>
      <c r="C992" s="167"/>
      <c r="D992" s="73"/>
      <c r="E992" s="73"/>
      <c r="F992" s="73"/>
      <c r="G992" s="73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123"/>
      <c r="B993" s="33"/>
      <c r="C993" s="167"/>
      <c r="D993" s="73"/>
      <c r="E993" s="73"/>
      <c r="F993" s="73"/>
      <c r="G993" s="73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123"/>
      <c r="B994" s="33"/>
      <c r="C994" s="167"/>
      <c r="D994" s="73"/>
      <c r="E994" s="73"/>
      <c r="F994" s="73"/>
      <c r="G994" s="73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123"/>
      <c r="B995" s="33"/>
      <c r="C995" s="167"/>
      <c r="D995" s="73"/>
      <c r="E995" s="73"/>
      <c r="F995" s="73"/>
      <c r="G995" s="73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123"/>
      <c r="B996" s="33"/>
      <c r="C996" s="167"/>
      <c r="D996" s="73"/>
      <c r="E996" s="73"/>
      <c r="F996" s="73"/>
      <c r="G996" s="73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123"/>
      <c r="B997" s="33"/>
      <c r="C997" s="167"/>
      <c r="D997" s="73"/>
      <c r="E997" s="73"/>
      <c r="F997" s="73"/>
      <c r="G997" s="73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123"/>
      <c r="B998" s="33"/>
      <c r="C998" s="167"/>
      <c r="D998" s="73"/>
      <c r="E998" s="73"/>
      <c r="F998" s="73"/>
      <c r="G998" s="73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123"/>
      <c r="B999" s="33"/>
      <c r="C999" s="167"/>
      <c r="D999" s="73"/>
      <c r="E999" s="73"/>
      <c r="F999" s="73"/>
      <c r="G999" s="73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123"/>
      <c r="B1000" s="33"/>
      <c r="C1000" s="167"/>
      <c r="D1000" s="73"/>
      <c r="E1000" s="73"/>
      <c r="F1000" s="73"/>
      <c r="G1000" s="73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D1:G5"/>
    <mergeCell ref="A7:G7"/>
  </mergeCells>
  <printOptions horizontalCentered="1"/>
  <pageMargins bottom="0.5905511811023623" footer="0.0" header="0.0" left="0.1968503937007874" right="0.1968503937007874" top="0.5905511811023623"/>
  <pageSetup paperSize="9" orientation="portrait"/>
  <headerFooter>
    <oddHeader>&amp;R&amp;F  Page &amp;P of </oddHeader>
  </headerFooter>
  <rowBreaks count="2" manualBreakCount="2">
    <brk id="128" man="1"/>
    <brk id="6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11.75"/>
    <col customWidth="1" min="2" max="2" width="37.75"/>
    <col customWidth="1" min="3" max="3" width="8.75"/>
    <col customWidth="1" min="4" max="4" width="6.13"/>
    <col customWidth="1" min="5" max="5" width="6.0"/>
    <col customWidth="1" min="6" max="6" width="15.75"/>
    <col customWidth="1" min="7" max="26" width="9.13"/>
  </cols>
  <sheetData>
    <row r="1">
      <c r="A1" s="123"/>
      <c r="B1" s="20"/>
      <c r="C1" s="176"/>
      <c r="D1" s="73"/>
      <c r="E1" s="73"/>
      <c r="F1" s="12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23"/>
      <c r="B2" s="20"/>
      <c r="C2" s="176"/>
      <c r="D2" s="73"/>
      <c r="E2" s="73"/>
      <c r="F2" s="126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23"/>
      <c r="B3" s="20"/>
      <c r="C3" s="120"/>
      <c r="D3" s="24"/>
      <c r="E3" s="24"/>
      <c r="F3" s="126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23"/>
      <c r="B4" s="20"/>
      <c r="C4" s="71"/>
      <c r="D4" s="210"/>
      <c r="E4" s="210"/>
      <c r="F4" s="126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23"/>
      <c r="B5" s="20"/>
      <c r="C5" s="71"/>
      <c r="D5" s="210"/>
      <c r="E5" s="210"/>
      <c r="F5" s="12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74" t="s">
        <v>376</v>
      </c>
      <c r="B6" s="75"/>
      <c r="C6" s="75"/>
      <c r="D6" s="75"/>
      <c r="E6" s="75"/>
      <c r="F6" s="76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68" t="s">
        <v>1571</v>
      </c>
      <c r="B7" s="172" t="s">
        <v>377</v>
      </c>
      <c r="C7" s="170" t="s">
        <v>378</v>
      </c>
      <c r="D7" s="172" t="s">
        <v>207</v>
      </c>
      <c r="E7" s="172" t="s">
        <v>381</v>
      </c>
      <c r="F7" s="211" t="s">
        <v>382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212"/>
      <c r="B8" s="213" t="s">
        <v>1572</v>
      </c>
      <c r="C8" s="175"/>
      <c r="D8" s="89"/>
      <c r="E8" s="89"/>
      <c r="F8" s="92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99" t="s">
        <v>1573</v>
      </c>
      <c r="B9" s="59" t="s">
        <v>1574</v>
      </c>
      <c r="C9" s="116">
        <v>23.05</v>
      </c>
      <c r="D9" s="96">
        <v>5.0</v>
      </c>
      <c r="E9" s="96">
        <v>50.0</v>
      </c>
      <c r="F9" s="97">
        <v>6.009608646218E12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99" t="s">
        <v>1575</v>
      </c>
      <c r="B10" s="59" t="s">
        <v>1576</v>
      </c>
      <c r="C10" s="116">
        <v>23.05</v>
      </c>
      <c r="D10" s="96">
        <v>5.0</v>
      </c>
      <c r="E10" s="96">
        <v>50.0</v>
      </c>
      <c r="F10" s="97">
        <v>6.009608646225E12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99" t="s">
        <v>1577</v>
      </c>
      <c r="B11" s="59" t="s">
        <v>1578</v>
      </c>
      <c r="C11" s="116">
        <v>23.05</v>
      </c>
      <c r="D11" s="96">
        <v>5.0</v>
      </c>
      <c r="E11" s="96">
        <v>50.0</v>
      </c>
      <c r="F11" s="97">
        <v>6.009608646232E12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99" t="s">
        <v>1579</v>
      </c>
      <c r="B12" s="59" t="s">
        <v>1580</v>
      </c>
      <c r="C12" s="116">
        <v>23.05</v>
      </c>
      <c r="D12" s="96">
        <v>5.0</v>
      </c>
      <c r="E12" s="96">
        <v>50.0</v>
      </c>
      <c r="F12" s="97">
        <v>6.009608646249E12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99" t="s">
        <v>1581</v>
      </c>
      <c r="B13" s="59" t="s">
        <v>1582</v>
      </c>
      <c r="C13" s="116">
        <v>23.05</v>
      </c>
      <c r="D13" s="96">
        <v>5.0</v>
      </c>
      <c r="E13" s="96">
        <v>50.0</v>
      </c>
      <c r="F13" s="97">
        <v>6.009608646256E12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99" t="s">
        <v>1583</v>
      </c>
      <c r="B14" s="59" t="s">
        <v>1584</v>
      </c>
      <c r="C14" s="116">
        <v>23.05</v>
      </c>
      <c r="D14" s="96">
        <v>5.0</v>
      </c>
      <c r="E14" s="96">
        <v>50.0</v>
      </c>
      <c r="F14" s="97">
        <v>6.009608646263E12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99" t="s">
        <v>1585</v>
      </c>
      <c r="B15" s="59" t="s">
        <v>1586</v>
      </c>
      <c r="C15" s="116">
        <v>23.05</v>
      </c>
      <c r="D15" s="96">
        <v>5.0</v>
      </c>
      <c r="E15" s="96">
        <v>50.0</v>
      </c>
      <c r="F15" s="148">
        <v>6.00960864627E12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99" t="s">
        <v>1587</v>
      </c>
      <c r="B16" s="59" t="s">
        <v>1588</v>
      </c>
      <c r="C16" s="116">
        <v>23.05</v>
      </c>
      <c r="D16" s="96">
        <v>5.0</v>
      </c>
      <c r="E16" s="96">
        <v>50.0</v>
      </c>
      <c r="F16" s="148">
        <v>6.009608646287E12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99" t="s">
        <v>1589</v>
      </c>
      <c r="B17" s="59" t="s">
        <v>1590</v>
      </c>
      <c r="C17" s="116">
        <v>23.05</v>
      </c>
      <c r="D17" s="96">
        <v>5.0</v>
      </c>
      <c r="E17" s="96">
        <v>50.0</v>
      </c>
      <c r="F17" s="148">
        <v>6.009608646294E12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99" t="s">
        <v>1591</v>
      </c>
      <c r="B18" s="59" t="s">
        <v>1592</v>
      </c>
      <c r="C18" s="116">
        <v>23.05</v>
      </c>
      <c r="D18" s="96">
        <v>5.0</v>
      </c>
      <c r="E18" s="96">
        <v>50.0</v>
      </c>
      <c r="F18" s="148">
        <v>6.0096086463E12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99" t="s">
        <v>1593</v>
      </c>
      <c r="B19" s="59" t="s">
        <v>1594</v>
      </c>
      <c r="C19" s="116">
        <v>23.05</v>
      </c>
      <c r="D19" s="96">
        <v>5.0</v>
      </c>
      <c r="E19" s="96">
        <v>50.0</v>
      </c>
      <c r="F19" s="97">
        <v>6.009608646515E12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99" t="s">
        <v>1595</v>
      </c>
      <c r="B20" s="59" t="s">
        <v>1596</v>
      </c>
      <c r="C20" s="116">
        <v>23.05</v>
      </c>
      <c r="D20" s="96">
        <v>5.0</v>
      </c>
      <c r="E20" s="96">
        <v>50.0</v>
      </c>
      <c r="F20" s="97">
        <v>6.009608646317E12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99" t="s">
        <v>1597</v>
      </c>
      <c r="B21" s="59" t="s">
        <v>1598</v>
      </c>
      <c r="C21" s="116">
        <v>23.05</v>
      </c>
      <c r="D21" s="96">
        <v>5.0</v>
      </c>
      <c r="E21" s="96">
        <v>50.0</v>
      </c>
      <c r="F21" s="97">
        <v>6.009608646324E12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99" t="s">
        <v>1599</v>
      </c>
      <c r="B22" s="59" t="s">
        <v>1600</v>
      </c>
      <c r="C22" s="116">
        <v>23.05</v>
      </c>
      <c r="D22" s="96">
        <v>5.0</v>
      </c>
      <c r="E22" s="96">
        <v>50.0</v>
      </c>
      <c r="F22" s="97">
        <v>6.009608646331E12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99" t="s">
        <v>1601</v>
      </c>
      <c r="B23" s="59" t="s">
        <v>1602</v>
      </c>
      <c r="C23" s="116">
        <v>23.05</v>
      </c>
      <c r="D23" s="96">
        <v>5.0</v>
      </c>
      <c r="E23" s="96">
        <v>50.0</v>
      </c>
      <c r="F23" s="97">
        <v>6.009608646348E12</v>
      </c>
      <c r="G23" s="33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99" t="s">
        <v>1603</v>
      </c>
      <c r="B24" s="59" t="s">
        <v>1604</v>
      </c>
      <c r="C24" s="116">
        <v>23.05</v>
      </c>
      <c r="D24" s="96">
        <v>5.0</v>
      </c>
      <c r="E24" s="96">
        <v>50.0</v>
      </c>
      <c r="F24" s="97">
        <v>6.009608646355E12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99" t="s">
        <v>1605</v>
      </c>
      <c r="B25" s="59" t="s">
        <v>1606</v>
      </c>
      <c r="C25" s="116">
        <v>23.05</v>
      </c>
      <c r="D25" s="96">
        <v>5.0</v>
      </c>
      <c r="E25" s="96">
        <v>50.0</v>
      </c>
      <c r="F25" s="97">
        <v>6.009608646362E12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99" t="s">
        <v>1607</v>
      </c>
      <c r="B26" s="59" t="s">
        <v>1608</v>
      </c>
      <c r="C26" s="116">
        <v>23.05</v>
      </c>
      <c r="D26" s="96">
        <v>5.0</v>
      </c>
      <c r="E26" s="96">
        <v>50.0</v>
      </c>
      <c r="F26" s="97">
        <v>6.009608646379E12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99" t="s">
        <v>1609</v>
      </c>
      <c r="B27" s="59" t="s">
        <v>1610</v>
      </c>
      <c r="C27" s="116">
        <v>23.05</v>
      </c>
      <c r="D27" s="96">
        <v>5.0</v>
      </c>
      <c r="E27" s="96">
        <v>50.0</v>
      </c>
      <c r="F27" s="97">
        <v>6.009608646386E12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99" t="s">
        <v>1611</v>
      </c>
      <c r="B28" s="59" t="s">
        <v>1612</v>
      </c>
      <c r="C28" s="116">
        <v>23.05</v>
      </c>
      <c r="D28" s="96">
        <v>5.0</v>
      </c>
      <c r="E28" s="96">
        <v>50.0</v>
      </c>
      <c r="F28" s="97">
        <v>6.009608646393E12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99" t="s">
        <v>1613</v>
      </c>
      <c r="B29" s="59" t="s">
        <v>1614</v>
      </c>
      <c r="C29" s="116">
        <v>23.05</v>
      </c>
      <c r="D29" s="96">
        <v>5.0</v>
      </c>
      <c r="E29" s="96">
        <v>50.0</v>
      </c>
      <c r="F29" s="97">
        <v>6.009608646409E12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99" t="s">
        <v>1615</v>
      </c>
      <c r="B30" s="59" t="s">
        <v>1616</v>
      </c>
      <c r="C30" s="116">
        <v>23.05</v>
      </c>
      <c r="D30" s="96">
        <v>5.0</v>
      </c>
      <c r="E30" s="96">
        <v>50.0</v>
      </c>
      <c r="F30" s="97">
        <v>6.009608646416E12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99" t="s">
        <v>1617</v>
      </c>
      <c r="B31" s="59" t="s">
        <v>1618</v>
      </c>
      <c r="C31" s="116">
        <v>23.05</v>
      </c>
      <c r="D31" s="96">
        <v>5.0</v>
      </c>
      <c r="E31" s="96">
        <v>50.0</v>
      </c>
      <c r="F31" s="97">
        <v>6.009608646423E12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99" t="s">
        <v>1619</v>
      </c>
      <c r="B32" s="59" t="s">
        <v>1620</v>
      </c>
      <c r="C32" s="116">
        <v>23.05</v>
      </c>
      <c r="D32" s="96">
        <v>5.0</v>
      </c>
      <c r="E32" s="96">
        <v>50.0</v>
      </c>
      <c r="F32" s="97">
        <v>6.00960864643E12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99" t="s">
        <v>1621</v>
      </c>
      <c r="B33" s="59" t="s">
        <v>1622</v>
      </c>
      <c r="C33" s="116">
        <v>23.05</v>
      </c>
      <c r="D33" s="96">
        <v>5.0</v>
      </c>
      <c r="E33" s="96">
        <v>50.0</v>
      </c>
      <c r="F33" s="97">
        <v>6.009608646447E12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99" t="s">
        <v>1623</v>
      </c>
      <c r="B34" s="59" t="s">
        <v>1624</v>
      </c>
      <c r="C34" s="116">
        <v>23.05</v>
      </c>
      <c r="D34" s="96">
        <v>5.0</v>
      </c>
      <c r="E34" s="96">
        <v>50.0</v>
      </c>
      <c r="F34" s="97">
        <v>6.009608646454E12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99" t="s">
        <v>1625</v>
      </c>
      <c r="B35" s="59" t="s">
        <v>1626</v>
      </c>
      <c r="C35" s="116">
        <v>23.05</v>
      </c>
      <c r="D35" s="94">
        <v>5.0</v>
      </c>
      <c r="E35" s="94">
        <v>50.0</v>
      </c>
      <c r="F35" s="97">
        <v>6.009608646461E12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99" t="s">
        <v>1627</v>
      </c>
      <c r="B36" s="59" t="s">
        <v>1628</v>
      </c>
      <c r="C36" s="116">
        <v>23.05</v>
      </c>
      <c r="D36" s="94">
        <v>5.0</v>
      </c>
      <c r="E36" s="94">
        <v>50.0</v>
      </c>
      <c r="F36" s="97">
        <v>6.009608646478E12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99" t="s">
        <v>1629</v>
      </c>
      <c r="B37" s="59" t="s">
        <v>1630</v>
      </c>
      <c r="C37" s="116">
        <v>23.05</v>
      </c>
      <c r="D37" s="94">
        <v>5.0</v>
      </c>
      <c r="E37" s="94">
        <v>50.0</v>
      </c>
      <c r="F37" s="97">
        <v>6.009608646485E12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99" t="s">
        <v>1631</v>
      </c>
      <c r="B38" s="59" t="s">
        <v>1632</v>
      </c>
      <c r="C38" s="116">
        <v>23.05</v>
      </c>
      <c r="D38" s="94">
        <v>5.0</v>
      </c>
      <c r="E38" s="94">
        <v>50.0</v>
      </c>
      <c r="F38" s="97">
        <v>6.009608646492E12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150" t="s">
        <v>1633</v>
      </c>
      <c r="B39" s="149" t="s">
        <v>1634</v>
      </c>
      <c r="C39" s="214">
        <v>23.05</v>
      </c>
      <c r="D39" s="106">
        <v>5.0</v>
      </c>
      <c r="E39" s="106">
        <v>50.0</v>
      </c>
      <c r="F39" s="109">
        <v>6.009608646508E12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123"/>
      <c r="B40" s="20"/>
      <c r="C40" s="176"/>
      <c r="D40" s="73"/>
      <c r="E40" s="73"/>
      <c r="F40" s="121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123"/>
      <c r="B41" s="20"/>
      <c r="C41" s="176"/>
      <c r="D41" s="73"/>
      <c r="E41" s="73"/>
      <c r="F41" s="12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123"/>
      <c r="B42" s="20"/>
      <c r="C42" s="176"/>
      <c r="D42" s="73"/>
      <c r="E42" s="73"/>
      <c r="F42" s="12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123"/>
      <c r="B43" s="20"/>
      <c r="C43" s="176"/>
      <c r="D43" s="73"/>
      <c r="E43" s="73"/>
      <c r="F43" s="12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123"/>
      <c r="B44" s="20"/>
      <c r="C44" s="176"/>
      <c r="D44" s="73"/>
      <c r="E44" s="73"/>
      <c r="F44" s="12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123"/>
      <c r="B45" s="20"/>
      <c r="C45" s="176"/>
      <c r="D45" s="73"/>
      <c r="E45" s="73"/>
      <c r="F45" s="12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123"/>
      <c r="B46" s="20"/>
      <c r="C46" s="176"/>
      <c r="D46" s="73"/>
      <c r="E46" s="73"/>
      <c r="F46" s="121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123"/>
      <c r="B47" s="20"/>
      <c r="C47" s="176"/>
      <c r="D47" s="73"/>
      <c r="E47" s="73"/>
      <c r="F47" s="12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123"/>
      <c r="B48" s="20"/>
      <c r="C48" s="176"/>
      <c r="D48" s="73"/>
      <c r="E48" s="73"/>
      <c r="F48" s="121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123"/>
      <c r="B49" s="20"/>
      <c r="C49" s="176"/>
      <c r="D49" s="73"/>
      <c r="E49" s="73"/>
      <c r="F49" s="12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123"/>
      <c r="B50" s="20"/>
      <c r="C50" s="176"/>
      <c r="D50" s="73"/>
      <c r="E50" s="73"/>
      <c r="F50" s="121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123"/>
      <c r="B51" s="20"/>
      <c r="C51" s="176"/>
      <c r="D51" s="73"/>
      <c r="E51" s="73"/>
      <c r="F51" s="12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123"/>
      <c r="B52" s="20"/>
      <c r="C52" s="176"/>
      <c r="D52" s="73"/>
      <c r="E52" s="73"/>
      <c r="F52" s="12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123"/>
      <c r="B53" s="20"/>
      <c r="C53" s="176"/>
      <c r="D53" s="73"/>
      <c r="E53" s="73"/>
      <c r="F53" s="12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23"/>
      <c r="B54" s="20"/>
      <c r="C54" s="176"/>
      <c r="D54" s="73"/>
      <c r="E54" s="73"/>
      <c r="F54" s="12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123"/>
      <c r="B55" s="20"/>
      <c r="C55" s="176"/>
      <c r="D55" s="73"/>
      <c r="E55" s="73"/>
      <c r="F55" s="12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123"/>
      <c r="B56" s="20"/>
      <c r="C56" s="176"/>
      <c r="D56" s="73"/>
      <c r="E56" s="73"/>
      <c r="F56" s="12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123"/>
      <c r="B57" s="20"/>
      <c r="C57" s="176"/>
      <c r="D57" s="73"/>
      <c r="E57" s="73"/>
      <c r="F57" s="1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123"/>
      <c r="B58" s="20"/>
      <c r="C58" s="176"/>
      <c r="D58" s="73"/>
      <c r="E58" s="73"/>
      <c r="F58" s="12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123"/>
      <c r="B59" s="20"/>
      <c r="C59" s="176"/>
      <c r="D59" s="73"/>
      <c r="E59" s="73"/>
      <c r="F59" s="12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123"/>
      <c r="B60" s="20"/>
      <c r="C60" s="176"/>
      <c r="D60" s="73"/>
      <c r="E60" s="73"/>
      <c r="F60" s="12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123"/>
      <c r="B61" s="20"/>
      <c r="C61" s="176"/>
      <c r="D61" s="73"/>
      <c r="E61" s="73"/>
      <c r="F61" s="12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123"/>
      <c r="B62" s="20"/>
      <c r="C62" s="176"/>
      <c r="D62" s="73"/>
      <c r="E62" s="73"/>
      <c r="F62" s="12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123"/>
      <c r="B63" s="20"/>
      <c r="C63" s="176"/>
      <c r="D63" s="73"/>
      <c r="E63" s="73"/>
      <c r="F63" s="12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123"/>
      <c r="B64" s="20"/>
      <c r="C64" s="176"/>
      <c r="D64" s="73"/>
      <c r="E64" s="73"/>
      <c r="F64" s="12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123"/>
      <c r="B65" s="20"/>
      <c r="C65" s="176"/>
      <c r="D65" s="73"/>
      <c r="E65" s="73"/>
      <c r="F65" s="12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123"/>
      <c r="B66" s="20"/>
      <c r="C66" s="176"/>
      <c r="D66" s="73"/>
      <c r="E66" s="73"/>
      <c r="F66" s="12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123"/>
      <c r="B67" s="20"/>
      <c r="C67" s="176"/>
      <c r="D67" s="73"/>
      <c r="E67" s="73"/>
      <c r="F67" s="12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123"/>
      <c r="B68" s="20"/>
      <c r="C68" s="176"/>
      <c r="D68" s="73"/>
      <c r="E68" s="73"/>
      <c r="F68" s="12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123"/>
      <c r="B69" s="20"/>
      <c r="C69" s="176"/>
      <c r="D69" s="73"/>
      <c r="E69" s="73"/>
      <c r="F69" s="12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23"/>
      <c r="B70" s="20"/>
      <c r="C70" s="176"/>
      <c r="D70" s="73"/>
      <c r="E70" s="73"/>
      <c r="F70" s="1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23"/>
      <c r="B71" s="20"/>
      <c r="C71" s="176"/>
      <c r="D71" s="73"/>
      <c r="E71" s="73"/>
      <c r="F71" s="12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23"/>
      <c r="B72" s="20"/>
      <c r="C72" s="176"/>
      <c r="D72" s="73"/>
      <c r="E72" s="73"/>
      <c r="F72" s="12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23"/>
      <c r="B73" s="20"/>
      <c r="C73" s="176"/>
      <c r="D73" s="73"/>
      <c r="E73" s="73"/>
      <c r="F73" s="12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23"/>
      <c r="B74" s="20"/>
      <c r="C74" s="176"/>
      <c r="D74" s="73"/>
      <c r="E74" s="73"/>
      <c r="F74" s="12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23"/>
      <c r="B75" s="20"/>
      <c r="C75" s="176"/>
      <c r="D75" s="73"/>
      <c r="E75" s="73"/>
      <c r="F75" s="12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23"/>
      <c r="B76" s="20"/>
      <c r="C76" s="176"/>
      <c r="D76" s="73"/>
      <c r="E76" s="73"/>
      <c r="F76" s="12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123"/>
      <c r="B77" s="20"/>
      <c r="C77" s="176"/>
      <c r="D77" s="73"/>
      <c r="E77" s="73"/>
      <c r="F77" s="12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123"/>
      <c r="B78" s="20"/>
      <c r="C78" s="176"/>
      <c r="D78" s="73"/>
      <c r="E78" s="73"/>
      <c r="F78" s="12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123"/>
      <c r="B79" s="20"/>
      <c r="C79" s="176"/>
      <c r="D79" s="73"/>
      <c r="E79" s="73"/>
      <c r="F79" s="1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123"/>
      <c r="B80" s="20"/>
      <c r="C80" s="176"/>
      <c r="D80" s="73"/>
      <c r="E80" s="73"/>
      <c r="F80" s="12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123"/>
      <c r="B81" s="20"/>
      <c r="C81" s="176"/>
      <c r="D81" s="73"/>
      <c r="E81" s="73"/>
      <c r="F81" s="12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123"/>
      <c r="B82" s="20"/>
      <c r="C82" s="176"/>
      <c r="D82" s="73"/>
      <c r="E82" s="73"/>
      <c r="F82" s="12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123"/>
      <c r="B83" s="20"/>
      <c r="C83" s="176"/>
      <c r="D83" s="73"/>
      <c r="E83" s="73"/>
      <c r="F83" s="1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123"/>
      <c r="B84" s="20"/>
      <c r="C84" s="176"/>
      <c r="D84" s="73"/>
      <c r="E84" s="73"/>
      <c r="F84" s="1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123"/>
      <c r="B85" s="20"/>
      <c r="C85" s="176"/>
      <c r="D85" s="73"/>
      <c r="E85" s="73"/>
      <c r="F85" s="1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123"/>
      <c r="B86" s="20"/>
      <c r="C86" s="176"/>
      <c r="D86" s="73"/>
      <c r="E86" s="73"/>
      <c r="F86" s="1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123"/>
      <c r="B87" s="20"/>
      <c r="C87" s="176"/>
      <c r="D87" s="73"/>
      <c r="E87" s="73"/>
      <c r="F87" s="1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123"/>
      <c r="B88" s="20"/>
      <c r="C88" s="176"/>
      <c r="D88" s="73"/>
      <c r="E88" s="73"/>
      <c r="F88" s="1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123"/>
      <c r="B89" s="20"/>
      <c r="C89" s="176"/>
      <c r="D89" s="73"/>
      <c r="E89" s="73"/>
      <c r="F89" s="1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123"/>
      <c r="B90" s="20"/>
      <c r="C90" s="176"/>
      <c r="D90" s="73"/>
      <c r="E90" s="73"/>
      <c r="F90" s="1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123"/>
      <c r="B91" s="20"/>
      <c r="C91" s="176"/>
      <c r="D91" s="73"/>
      <c r="E91" s="73"/>
      <c r="F91" s="1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123"/>
      <c r="B92" s="20"/>
      <c r="C92" s="176"/>
      <c r="D92" s="73"/>
      <c r="E92" s="73"/>
      <c r="F92" s="1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123"/>
      <c r="B93" s="20"/>
      <c r="C93" s="176"/>
      <c r="D93" s="73"/>
      <c r="E93" s="73"/>
      <c r="F93" s="1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123"/>
      <c r="B94" s="20"/>
      <c r="C94" s="176"/>
      <c r="D94" s="73"/>
      <c r="E94" s="73"/>
      <c r="F94" s="1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123"/>
      <c r="B95" s="20"/>
      <c r="C95" s="176"/>
      <c r="D95" s="73"/>
      <c r="E95" s="73"/>
      <c r="F95" s="1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123"/>
      <c r="B96" s="20"/>
      <c r="C96" s="176"/>
      <c r="D96" s="73"/>
      <c r="E96" s="73"/>
      <c r="F96" s="1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123"/>
      <c r="B97" s="20"/>
      <c r="C97" s="176"/>
      <c r="D97" s="73"/>
      <c r="E97" s="73"/>
      <c r="F97" s="1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123"/>
      <c r="B98" s="20"/>
      <c r="C98" s="176"/>
      <c r="D98" s="73"/>
      <c r="E98" s="73"/>
      <c r="F98" s="1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123"/>
      <c r="B99" s="20"/>
      <c r="C99" s="176"/>
      <c r="D99" s="73"/>
      <c r="E99" s="73"/>
      <c r="F99" s="1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123"/>
      <c r="B100" s="20"/>
      <c r="C100" s="176"/>
      <c r="D100" s="73"/>
      <c r="E100" s="73"/>
      <c r="F100" s="1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123"/>
      <c r="B101" s="20"/>
      <c r="C101" s="176"/>
      <c r="D101" s="73"/>
      <c r="E101" s="73"/>
      <c r="F101" s="1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123"/>
      <c r="B102" s="20"/>
      <c r="C102" s="176"/>
      <c r="D102" s="73"/>
      <c r="E102" s="73"/>
      <c r="F102" s="1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123"/>
      <c r="B103" s="20"/>
      <c r="C103" s="176"/>
      <c r="D103" s="73"/>
      <c r="E103" s="73"/>
      <c r="F103" s="1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123"/>
      <c r="B104" s="20"/>
      <c r="C104" s="176"/>
      <c r="D104" s="73"/>
      <c r="E104" s="73"/>
      <c r="F104" s="1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123"/>
      <c r="B105" s="20"/>
      <c r="C105" s="176"/>
      <c r="D105" s="73"/>
      <c r="E105" s="73"/>
      <c r="F105" s="1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123"/>
      <c r="B106" s="20"/>
      <c r="C106" s="176"/>
      <c r="D106" s="73"/>
      <c r="E106" s="73"/>
      <c r="F106" s="1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123"/>
      <c r="B107" s="20"/>
      <c r="C107" s="176"/>
      <c r="D107" s="73"/>
      <c r="E107" s="73"/>
      <c r="F107" s="1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123"/>
      <c r="B108" s="20"/>
      <c r="C108" s="176"/>
      <c r="D108" s="73"/>
      <c r="E108" s="73"/>
      <c r="F108" s="1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123"/>
      <c r="B109" s="20"/>
      <c r="C109" s="176"/>
      <c r="D109" s="73"/>
      <c r="E109" s="73"/>
      <c r="F109" s="1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123"/>
      <c r="B110" s="20"/>
      <c r="C110" s="176"/>
      <c r="D110" s="73"/>
      <c r="E110" s="73"/>
      <c r="F110" s="1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123"/>
      <c r="B111" s="20"/>
      <c r="C111" s="176"/>
      <c r="D111" s="73"/>
      <c r="E111" s="73"/>
      <c r="F111" s="1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123"/>
      <c r="B112" s="20"/>
      <c r="C112" s="176"/>
      <c r="D112" s="73"/>
      <c r="E112" s="73"/>
      <c r="F112" s="1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123"/>
      <c r="B113" s="20"/>
      <c r="C113" s="176"/>
      <c r="D113" s="73"/>
      <c r="E113" s="73"/>
      <c r="F113" s="1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123"/>
      <c r="B114" s="20"/>
      <c r="C114" s="176"/>
      <c r="D114" s="73"/>
      <c r="E114" s="73"/>
      <c r="F114" s="1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123"/>
      <c r="B115" s="20"/>
      <c r="C115" s="176"/>
      <c r="D115" s="73"/>
      <c r="E115" s="73"/>
      <c r="F115" s="1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123"/>
      <c r="B116" s="20"/>
      <c r="C116" s="176"/>
      <c r="D116" s="73"/>
      <c r="E116" s="73"/>
      <c r="F116" s="1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123"/>
      <c r="B117" s="20"/>
      <c r="C117" s="176"/>
      <c r="D117" s="73"/>
      <c r="E117" s="73"/>
      <c r="F117" s="1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123"/>
      <c r="B118" s="20"/>
      <c r="C118" s="176"/>
      <c r="D118" s="73"/>
      <c r="E118" s="73"/>
      <c r="F118" s="1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123"/>
      <c r="B119" s="20"/>
      <c r="C119" s="176"/>
      <c r="D119" s="73"/>
      <c r="E119" s="73"/>
      <c r="F119" s="1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123"/>
      <c r="B120" s="20"/>
      <c r="C120" s="176"/>
      <c r="D120" s="73"/>
      <c r="E120" s="73"/>
      <c r="F120" s="1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123"/>
      <c r="B121" s="20"/>
      <c r="C121" s="176"/>
      <c r="D121" s="73"/>
      <c r="E121" s="73"/>
      <c r="F121" s="1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123"/>
      <c r="B122" s="20"/>
      <c r="C122" s="176"/>
      <c r="D122" s="73"/>
      <c r="E122" s="73"/>
      <c r="F122" s="1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123"/>
      <c r="B123" s="20"/>
      <c r="C123" s="176"/>
      <c r="D123" s="73"/>
      <c r="E123" s="73"/>
      <c r="F123" s="1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123"/>
      <c r="B124" s="20"/>
      <c r="C124" s="176"/>
      <c r="D124" s="73"/>
      <c r="E124" s="73"/>
      <c r="F124" s="1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123"/>
      <c r="B125" s="20"/>
      <c r="C125" s="176"/>
      <c r="D125" s="73"/>
      <c r="E125" s="73"/>
      <c r="F125" s="1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123"/>
      <c r="B126" s="20"/>
      <c r="C126" s="176"/>
      <c r="D126" s="73"/>
      <c r="E126" s="73"/>
      <c r="F126" s="1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123"/>
      <c r="B127" s="20"/>
      <c r="C127" s="176"/>
      <c r="D127" s="73"/>
      <c r="E127" s="73"/>
      <c r="F127" s="1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123"/>
      <c r="B128" s="20"/>
      <c r="C128" s="176"/>
      <c r="D128" s="73"/>
      <c r="E128" s="73"/>
      <c r="F128" s="1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123"/>
      <c r="B129" s="20"/>
      <c r="C129" s="176"/>
      <c r="D129" s="73"/>
      <c r="E129" s="73"/>
      <c r="F129" s="1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123"/>
      <c r="B130" s="20"/>
      <c r="C130" s="176"/>
      <c r="D130" s="73"/>
      <c r="E130" s="73"/>
      <c r="F130" s="1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123"/>
      <c r="B131" s="20"/>
      <c r="C131" s="176"/>
      <c r="D131" s="73"/>
      <c r="E131" s="73"/>
      <c r="F131" s="1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123"/>
      <c r="B132" s="20"/>
      <c r="C132" s="176"/>
      <c r="D132" s="73"/>
      <c r="E132" s="73"/>
      <c r="F132" s="1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123"/>
      <c r="B133" s="20"/>
      <c r="C133" s="176"/>
      <c r="D133" s="73"/>
      <c r="E133" s="73"/>
      <c r="F133" s="1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123"/>
      <c r="B134" s="20"/>
      <c r="C134" s="176"/>
      <c r="D134" s="73"/>
      <c r="E134" s="73"/>
      <c r="F134" s="1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123"/>
      <c r="B135" s="20"/>
      <c r="C135" s="176"/>
      <c r="D135" s="73"/>
      <c r="E135" s="73"/>
      <c r="F135" s="1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123"/>
      <c r="B136" s="20"/>
      <c r="C136" s="176"/>
      <c r="D136" s="73"/>
      <c r="E136" s="73"/>
      <c r="F136" s="1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123"/>
      <c r="B137" s="20"/>
      <c r="C137" s="176"/>
      <c r="D137" s="73"/>
      <c r="E137" s="73"/>
      <c r="F137" s="1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123"/>
      <c r="B138" s="20"/>
      <c r="C138" s="176"/>
      <c r="D138" s="73"/>
      <c r="E138" s="73"/>
      <c r="F138" s="1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123"/>
      <c r="B139" s="20"/>
      <c r="C139" s="176"/>
      <c r="D139" s="73"/>
      <c r="E139" s="73"/>
      <c r="F139" s="1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123"/>
      <c r="B140" s="20"/>
      <c r="C140" s="176"/>
      <c r="D140" s="73"/>
      <c r="E140" s="73"/>
      <c r="F140" s="1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123"/>
      <c r="B141" s="20"/>
      <c r="C141" s="176"/>
      <c r="D141" s="73"/>
      <c r="E141" s="73"/>
      <c r="F141" s="1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123"/>
      <c r="B142" s="20"/>
      <c r="C142" s="176"/>
      <c r="D142" s="73"/>
      <c r="E142" s="73"/>
      <c r="F142" s="1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123"/>
      <c r="B143" s="20"/>
      <c r="C143" s="176"/>
      <c r="D143" s="73"/>
      <c r="E143" s="73"/>
      <c r="F143" s="1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123"/>
      <c r="B144" s="20"/>
      <c r="C144" s="176"/>
      <c r="D144" s="73"/>
      <c r="E144" s="73"/>
      <c r="F144" s="1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123"/>
      <c r="B145" s="20"/>
      <c r="C145" s="176"/>
      <c r="D145" s="73"/>
      <c r="E145" s="73"/>
      <c r="F145" s="1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123"/>
      <c r="B146" s="20"/>
      <c r="C146" s="176"/>
      <c r="D146" s="73"/>
      <c r="E146" s="73"/>
      <c r="F146" s="1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123"/>
      <c r="B147" s="20"/>
      <c r="C147" s="176"/>
      <c r="D147" s="73"/>
      <c r="E147" s="73"/>
      <c r="F147" s="1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123"/>
      <c r="B148" s="20"/>
      <c r="C148" s="176"/>
      <c r="D148" s="73"/>
      <c r="E148" s="73"/>
      <c r="F148" s="1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123"/>
      <c r="B149" s="20"/>
      <c r="C149" s="176"/>
      <c r="D149" s="73"/>
      <c r="E149" s="73"/>
      <c r="F149" s="1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123"/>
      <c r="B150" s="20"/>
      <c r="C150" s="176"/>
      <c r="D150" s="73"/>
      <c r="E150" s="73"/>
      <c r="F150" s="1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123"/>
      <c r="B151" s="20"/>
      <c r="C151" s="176"/>
      <c r="D151" s="73"/>
      <c r="E151" s="73"/>
      <c r="F151" s="1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123"/>
      <c r="B152" s="20"/>
      <c r="C152" s="176"/>
      <c r="D152" s="73"/>
      <c r="E152" s="73"/>
      <c r="F152" s="1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123"/>
      <c r="B153" s="20"/>
      <c r="C153" s="176"/>
      <c r="D153" s="73"/>
      <c r="E153" s="73"/>
      <c r="F153" s="1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123"/>
      <c r="B154" s="20"/>
      <c r="C154" s="176"/>
      <c r="D154" s="73"/>
      <c r="E154" s="73"/>
      <c r="F154" s="1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123"/>
      <c r="B155" s="20"/>
      <c r="C155" s="176"/>
      <c r="D155" s="73"/>
      <c r="E155" s="73"/>
      <c r="F155" s="1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123"/>
      <c r="B156" s="20"/>
      <c r="C156" s="176"/>
      <c r="D156" s="73"/>
      <c r="E156" s="73"/>
      <c r="F156" s="1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123"/>
      <c r="B157" s="20"/>
      <c r="C157" s="176"/>
      <c r="D157" s="73"/>
      <c r="E157" s="73"/>
      <c r="F157" s="1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123"/>
      <c r="B158" s="20"/>
      <c r="C158" s="176"/>
      <c r="D158" s="73"/>
      <c r="E158" s="73"/>
      <c r="F158" s="1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123"/>
      <c r="B159" s="20"/>
      <c r="C159" s="176"/>
      <c r="D159" s="73"/>
      <c r="E159" s="73"/>
      <c r="F159" s="1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123"/>
      <c r="B160" s="20"/>
      <c r="C160" s="176"/>
      <c r="D160" s="73"/>
      <c r="E160" s="73"/>
      <c r="F160" s="1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123"/>
      <c r="B161" s="20"/>
      <c r="C161" s="176"/>
      <c r="D161" s="73"/>
      <c r="E161" s="73"/>
      <c r="F161" s="1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123"/>
      <c r="B162" s="20"/>
      <c r="C162" s="176"/>
      <c r="D162" s="73"/>
      <c r="E162" s="73"/>
      <c r="F162" s="1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123"/>
      <c r="B163" s="20"/>
      <c r="C163" s="176"/>
      <c r="D163" s="73"/>
      <c r="E163" s="73"/>
      <c r="F163" s="1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123"/>
      <c r="B164" s="20"/>
      <c r="C164" s="176"/>
      <c r="D164" s="73"/>
      <c r="E164" s="73"/>
      <c r="F164" s="1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123"/>
      <c r="B165" s="20"/>
      <c r="C165" s="176"/>
      <c r="D165" s="73"/>
      <c r="E165" s="73"/>
      <c r="F165" s="1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123"/>
      <c r="B166" s="20"/>
      <c r="C166" s="176"/>
      <c r="D166" s="73"/>
      <c r="E166" s="73"/>
      <c r="F166" s="1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123"/>
      <c r="B167" s="20"/>
      <c r="C167" s="176"/>
      <c r="D167" s="73"/>
      <c r="E167" s="73"/>
      <c r="F167" s="1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123"/>
      <c r="B168" s="20"/>
      <c r="C168" s="176"/>
      <c r="D168" s="73"/>
      <c r="E168" s="73"/>
      <c r="F168" s="1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123"/>
      <c r="B169" s="20"/>
      <c r="C169" s="176"/>
      <c r="D169" s="73"/>
      <c r="E169" s="73"/>
      <c r="F169" s="1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123"/>
      <c r="B170" s="20"/>
      <c r="C170" s="176"/>
      <c r="D170" s="73"/>
      <c r="E170" s="73"/>
      <c r="F170" s="1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123"/>
      <c r="B171" s="20"/>
      <c r="C171" s="176"/>
      <c r="D171" s="73"/>
      <c r="E171" s="73"/>
      <c r="F171" s="1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123"/>
      <c r="B172" s="20"/>
      <c r="C172" s="176"/>
      <c r="D172" s="73"/>
      <c r="E172" s="73"/>
      <c r="F172" s="1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123"/>
      <c r="B173" s="20"/>
      <c r="C173" s="176"/>
      <c r="D173" s="73"/>
      <c r="E173" s="73"/>
      <c r="F173" s="1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123"/>
      <c r="B174" s="20"/>
      <c r="C174" s="176"/>
      <c r="D174" s="73"/>
      <c r="E174" s="73"/>
      <c r="F174" s="1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123"/>
      <c r="B175" s="20"/>
      <c r="C175" s="176"/>
      <c r="D175" s="73"/>
      <c r="E175" s="73"/>
      <c r="F175" s="1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123"/>
      <c r="B176" s="20"/>
      <c r="C176" s="176"/>
      <c r="D176" s="73"/>
      <c r="E176" s="73"/>
      <c r="F176" s="1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123"/>
      <c r="B177" s="20"/>
      <c r="C177" s="176"/>
      <c r="D177" s="73"/>
      <c r="E177" s="73"/>
      <c r="F177" s="1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123"/>
      <c r="B178" s="20"/>
      <c r="C178" s="176"/>
      <c r="D178" s="73"/>
      <c r="E178" s="73"/>
      <c r="F178" s="1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123"/>
      <c r="B179" s="20"/>
      <c r="C179" s="176"/>
      <c r="D179" s="73"/>
      <c r="E179" s="73"/>
      <c r="F179" s="1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123"/>
      <c r="B180" s="20"/>
      <c r="C180" s="176"/>
      <c r="D180" s="73"/>
      <c r="E180" s="73"/>
      <c r="F180" s="1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123"/>
      <c r="B181" s="20"/>
      <c r="C181" s="176"/>
      <c r="D181" s="73"/>
      <c r="E181" s="73"/>
      <c r="F181" s="1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123"/>
      <c r="B182" s="20"/>
      <c r="C182" s="176"/>
      <c r="D182" s="73"/>
      <c r="E182" s="73"/>
      <c r="F182" s="1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123"/>
      <c r="B183" s="20"/>
      <c r="C183" s="176"/>
      <c r="D183" s="73"/>
      <c r="E183" s="73"/>
      <c r="F183" s="1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123"/>
      <c r="B184" s="20"/>
      <c r="C184" s="176"/>
      <c r="D184" s="73"/>
      <c r="E184" s="73"/>
      <c r="F184" s="1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123"/>
      <c r="B185" s="20"/>
      <c r="C185" s="176"/>
      <c r="D185" s="73"/>
      <c r="E185" s="73"/>
      <c r="F185" s="1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123"/>
      <c r="B186" s="20"/>
      <c r="C186" s="176"/>
      <c r="D186" s="73"/>
      <c r="E186" s="73"/>
      <c r="F186" s="1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123"/>
      <c r="B187" s="20"/>
      <c r="C187" s="176"/>
      <c r="D187" s="73"/>
      <c r="E187" s="73"/>
      <c r="F187" s="1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123"/>
      <c r="B188" s="20"/>
      <c r="C188" s="176"/>
      <c r="D188" s="73"/>
      <c r="E188" s="73"/>
      <c r="F188" s="1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123"/>
      <c r="B189" s="20"/>
      <c r="C189" s="176"/>
      <c r="D189" s="73"/>
      <c r="E189" s="73"/>
      <c r="F189" s="1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123"/>
      <c r="B190" s="20"/>
      <c r="C190" s="176"/>
      <c r="D190" s="73"/>
      <c r="E190" s="73"/>
      <c r="F190" s="1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123"/>
      <c r="B191" s="20"/>
      <c r="C191" s="176"/>
      <c r="D191" s="73"/>
      <c r="E191" s="73"/>
      <c r="F191" s="1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123"/>
      <c r="B192" s="20"/>
      <c r="C192" s="176"/>
      <c r="D192" s="73"/>
      <c r="E192" s="73"/>
      <c r="F192" s="1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123"/>
      <c r="B193" s="20"/>
      <c r="C193" s="176"/>
      <c r="D193" s="73"/>
      <c r="E193" s="73"/>
      <c r="F193" s="1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123"/>
      <c r="B194" s="20"/>
      <c r="C194" s="176"/>
      <c r="D194" s="73"/>
      <c r="E194" s="73"/>
      <c r="F194" s="1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123"/>
      <c r="B195" s="20"/>
      <c r="C195" s="176"/>
      <c r="D195" s="73"/>
      <c r="E195" s="73"/>
      <c r="F195" s="1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123"/>
      <c r="B196" s="20"/>
      <c r="C196" s="176"/>
      <c r="D196" s="73"/>
      <c r="E196" s="73"/>
      <c r="F196" s="1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123"/>
      <c r="B197" s="20"/>
      <c r="C197" s="176"/>
      <c r="D197" s="73"/>
      <c r="E197" s="73"/>
      <c r="F197" s="1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123"/>
      <c r="B198" s="20"/>
      <c r="C198" s="176"/>
      <c r="D198" s="73"/>
      <c r="E198" s="73"/>
      <c r="F198" s="1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123"/>
      <c r="B199" s="20"/>
      <c r="C199" s="176"/>
      <c r="D199" s="73"/>
      <c r="E199" s="73"/>
      <c r="F199" s="1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123"/>
      <c r="B200" s="20"/>
      <c r="C200" s="176"/>
      <c r="D200" s="73"/>
      <c r="E200" s="73"/>
      <c r="F200" s="1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123"/>
      <c r="B201" s="20"/>
      <c r="C201" s="176"/>
      <c r="D201" s="73"/>
      <c r="E201" s="73"/>
      <c r="F201" s="1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123"/>
      <c r="B202" s="20"/>
      <c r="C202" s="176"/>
      <c r="D202" s="73"/>
      <c r="E202" s="73"/>
      <c r="F202" s="1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123"/>
      <c r="B203" s="20"/>
      <c r="C203" s="176"/>
      <c r="D203" s="73"/>
      <c r="E203" s="73"/>
      <c r="F203" s="1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123"/>
      <c r="B204" s="20"/>
      <c r="C204" s="176"/>
      <c r="D204" s="73"/>
      <c r="E204" s="73"/>
      <c r="F204" s="1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123"/>
      <c r="B205" s="20"/>
      <c r="C205" s="176"/>
      <c r="D205" s="73"/>
      <c r="E205" s="73"/>
      <c r="F205" s="1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123"/>
      <c r="B206" s="20"/>
      <c r="C206" s="176"/>
      <c r="D206" s="73"/>
      <c r="E206" s="73"/>
      <c r="F206" s="1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123"/>
      <c r="B207" s="20"/>
      <c r="C207" s="176"/>
      <c r="D207" s="73"/>
      <c r="E207" s="73"/>
      <c r="F207" s="1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123"/>
      <c r="B208" s="20"/>
      <c r="C208" s="176"/>
      <c r="D208" s="73"/>
      <c r="E208" s="73"/>
      <c r="F208" s="1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123"/>
      <c r="B209" s="20"/>
      <c r="C209" s="176"/>
      <c r="D209" s="73"/>
      <c r="E209" s="73"/>
      <c r="F209" s="1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123"/>
      <c r="B210" s="20"/>
      <c r="C210" s="176"/>
      <c r="D210" s="73"/>
      <c r="E210" s="73"/>
      <c r="F210" s="1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123"/>
      <c r="B211" s="20"/>
      <c r="C211" s="176"/>
      <c r="D211" s="73"/>
      <c r="E211" s="73"/>
      <c r="F211" s="1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123"/>
      <c r="B212" s="20"/>
      <c r="C212" s="176"/>
      <c r="D212" s="73"/>
      <c r="E212" s="73"/>
      <c r="F212" s="1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123"/>
      <c r="B213" s="20"/>
      <c r="C213" s="176"/>
      <c r="D213" s="73"/>
      <c r="E213" s="73"/>
      <c r="F213" s="1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123"/>
      <c r="B214" s="20"/>
      <c r="C214" s="176"/>
      <c r="D214" s="73"/>
      <c r="E214" s="73"/>
      <c r="F214" s="1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123"/>
      <c r="B215" s="20"/>
      <c r="C215" s="176"/>
      <c r="D215" s="73"/>
      <c r="E215" s="73"/>
      <c r="F215" s="1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123"/>
      <c r="B216" s="20"/>
      <c r="C216" s="176"/>
      <c r="D216" s="73"/>
      <c r="E216" s="73"/>
      <c r="F216" s="1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123"/>
      <c r="B217" s="20"/>
      <c r="C217" s="176"/>
      <c r="D217" s="73"/>
      <c r="E217" s="73"/>
      <c r="F217" s="1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123"/>
      <c r="B218" s="20"/>
      <c r="C218" s="176"/>
      <c r="D218" s="73"/>
      <c r="E218" s="73"/>
      <c r="F218" s="1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123"/>
      <c r="B219" s="20"/>
      <c r="C219" s="176"/>
      <c r="D219" s="73"/>
      <c r="E219" s="73"/>
      <c r="F219" s="1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123"/>
      <c r="B220" s="20"/>
      <c r="C220" s="176"/>
      <c r="D220" s="73"/>
      <c r="E220" s="73"/>
      <c r="F220" s="1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123"/>
      <c r="B221" s="20"/>
      <c r="C221" s="176"/>
      <c r="D221" s="73"/>
      <c r="E221" s="73"/>
      <c r="F221" s="1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123"/>
      <c r="B222" s="20"/>
      <c r="C222" s="176"/>
      <c r="D222" s="73"/>
      <c r="E222" s="73"/>
      <c r="F222" s="1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123"/>
      <c r="B223" s="20"/>
      <c r="C223" s="176"/>
      <c r="D223" s="73"/>
      <c r="E223" s="73"/>
      <c r="F223" s="1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123"/>
      <c r="B224" s="20"/>
      <c r="C224" s="176"/>
      <c r="D224" s="73"/>
      <c r="E224" s="73"/>
      <c r="F224" s="1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123"/>
      <c r="B225" s="20"/>
      <c r="C225" s="176"/>
      <c r="D225" s="73"/>
      <c r="E225" s="73"/>
      <c r="F225" s="1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123"/>
      <c r="B226" s="20"/>
      <c r="C226" s="176"/>
      <c r="D226" s="73"/>
      <c r="E226" s="73"/>
      <c r="F226" s="1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123"/>
      <c r="B227" s="20"/>
      <c r="C227" s="176"/>
      <c r="D227" s="73"/>
      <c r="E227" s="73"/>
      <c r="F227" s="1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123"/>
      <c r="B228" s="20"/>
      <c r="C228" s="176"/>
      <c r="D228" s="73"/>
      <c r="E228" s="73"/>
      <c r="F228" s="1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123"/>
      <c r="B229" s="20"/>
      <c r="C229" s="176"/>
      <c r="D229" s="73"/>
      <c r="E229" s="73"/>
      <c r="F229" s="1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123"/>
      <c r="B230" s="20"/>
      <c r="C230" s="176"/>
      <c r="D230" s="73"/>
      <c r="E230" s="73"/>
      <c r="F230" s="1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123"/>
      <c r="B231" s="20"/>
      <c r="C231" s="176"/>
      <c r="D231" s="73"/>
      <c r="E231" s="73"/>
      <c r="F231" s="1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123"/>
      <c r="B232" s="20"/>
      <c r="C232" s="176"/>
      <c r="D232" s="73"/>
      <c r="E232" s="73"/>
      <c r="F232" s="1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123"/>
      <c r="B233" s="20"/>
      <c r="C233" s="176"/>
      <c r="D233" s="73"/>
      <c r="E233" s="73"/>
      <c r="F233" s="1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123"/>
      <c r="B234" s="20"/>
      <c r="C234" s="176"/>
      <c r="D234" s="73"/>
      <c r="E234" s="73"/>
      <c r="F234" s="1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123"/>
      <c r="B235" s="20"/>
      <c r="C235" s="176"/>
      <c r="D235" s="73"/>
      <c r="E235" s="73"/>
      <c r="F235" s="1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123"/>
      <c r="B236" s="20"/>
      <c r="C236" s="176"/>
      <c r="D236" s="73"/>
      <c r="E236" s="73"/>
      <c r="F236" s="1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123"/>
      <c r="B237" s="20"/>
      <c r="C237" s="176"/>
      <c r="D237" s="73"/>
      <c r="E237" s="73"/>
      <c r="F237" s="1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123"/>
      <c r="B238" s="20"/>
      <c r="C238" s="176"/>
      <c r="D238" s="73"/>
      <c r="E238" s="73"/>
      <c r="F238" s="1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123"/>
      <c r="B239" s="20"/>
      <c r="C239" s="176"/>
      <c r="D239" s="73"/>
      <c r="E239" s="73"/>
      <c r="F239" s="1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123"/>
      <c r="B240" s="20"/>
      <c r="C240" s="176"/>
      <c r="D240" s="73"/>
      <c r="E240" s="73"/>
      <c r="F240" s="1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123"/>
      <c r="B241" s="20"/>
      <c r="C241" s="176"/>
      <c r="D241" s="73"/>
      <c r="E241" s="73"/>
      <c r="F241" s="1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123"/>
      <c r="B242" s="20"/>
      <c r="C242" s="176"/>
      <c r="D242" s="73"/>
      <c r="E242" s="73"/>
      <c r="F242" s="1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123"/>
      <c r="B243" s="20"/>
      <c r="C243" s="176"/>
      <c r="D243" s="73"/>
      <c r="E243" s="73"/>
      <c r="F243" s="1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123"/>
      <c r="B244" s="20"/>
      <c r="C244" s="176"/>
      <c r="D244" s="73"/>
      <c r="E244" s="73"/>
      <c r="F244" s="1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123"/>
      <c r="B245" s="20"/>
      <c r="C245" s="176"/>
      <c r="D245" s="73"/>
      <c r="E245" s="73"/>
      <c r="F245" s="1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123"/>
      <c r="B246" s="20"/>
      <c r="C246" s="176"/>
      <c r="D246" s="73"/>
      <c r="E246" s="73"/>
      <c r="F246" s="1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123"/>
      <c r="B247" s="20"/>
      <c r="C247" s="176"/>
      <c r="D247" s="73"/>
      <c r="E247" s="73"/>
      <c r="F247" s="1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123"/>
      <c r="B248" s="20"/>
      <c r="C248" s="176"/>
      <c r="D248" s="73"/>
      <c r="E248" s="73"/>
      <c r="F248" s="1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123"/>
      <c r="B249" s="20"/>
      <c r="C249" s="176"/>
      <c r="D249" s="73"/>
      <c r="E249" s="73"/>
      <c r="F249" s="1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123"/>
      <c r="B250" s="20"/>
      <c r="C250" s="176"/>
      <c r="D250" s="73"/>
      <c r="E250" s="73"/>
      <c r="F250" s="1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123"/>
      <c r="B251" s="20"/>
      <c r="C251" s="176"/>
      <c r="D251" s="73"/>
      <c r="E251" s="73"/>
      <c r="F251" s="1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123"/>
      <c r="B252" s="20"/>
      <c r="C252" s="176"/>
      <c r="D252" s="73"/>
      <c r="E252" s="73"/>
      <c r="F252" s="1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123"/>
      <c r="B253" s="20"/>
      <c r="C253" s="176"/>
      <c r="D253" s="73"/>
      <c r="E253" s="73"/>
      <c r="F253" s="1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123"/>
      <c r="B254" s="20"/>
      <c r="C254" s="176"/>
      <c r="D254" s="73"/>
      <c r="E254" s="73"/>
      <c r="F254" s="1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123"/>
      <c r="B255" s="20"/>
      <c r="C255" s="176"/>
      <c r="D255" s="73"/>
      <c r="E255" s="73"/>
      <c r="F255" s="1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123"/>
      <c r="B256" s="20"/>
      <c r="C256" s="176"/>
      <c r="D256" s="73"/>
      <c r="E256" s="73"/>
      <c r="F256" s="1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123"/>
      <c r="B257" s="20"/>
      <c r="C257" s="176"/>
      <c r="D257" s="73"/>
      <c r="E257" s="73"/>
      <c r="F257" s="1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123"/>
      <c r="B258" s="20"/>
      <c r="C258" s="176"/>
      <c r="D258" s="73"/>
      <c r="E258" s="73"/>
      <c r="F258" s="1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123"/>
      <c r="B259" s="20"/>
      <c r="C259" s="176"/>
      <c r="D259" s="73"/>
      <c r="E259" s="73"/>
      <c r="F259" s="1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123"/>
      <c r="B260" s="20"/>
      <c r="C260" s="176"/>
      <c r="D260" s="73"/>
      <c r="E260" s="73"/>
      <c r="F260" s="1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123"/>
      <c r="B261" s="20"/>
      <c r="C261" s="176"/>
      <c r="D261" s="73"/>
      <c r="E261" s="73"/>
      <c r="F261" s="1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123"/>
      <c r="B262" s="20"/>
      <c r="C262" s="176"/>
      <c r="D262" s="73"/>
      <c r="E262" s="73"/>
      <c r="F262" s="1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123"/>
      <c r="B263" s="20"/>
      <c r="C263" s="176"/>
      <c r="D263" s="73"/>
      <c r="E263" s="73"/>
      <c r="F263" s="1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123"/>
      <c r="B264" s="20"/>
      <c r="C264" s="176"/>
      <c r="D264" s="73"/>
      <c r="E264" s="73"/>
      <c r="F264" s="1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123"/>
      <c r="B265" s="20"/>
      <c r="C265" s="176"/>
      <c r="D265" s="73"/>
      <c r="E265" s="73"/>
      <c r="F265" s="1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123"/>
      <c r="B266" s="20"/>
      <c r="C266" s="176"/>
      <c r="D266" s="73"/>
      <c r="E266" s="73"/>
      <c r="F266" s="1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123"/>
      <c r="B267" s="20"/>
      <c r="C267" s="176"/>
      <c r="D267" s="73"/>
      <c r="E267" s="73"/>
      <c r="F267" s="1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123"/>
      <c r="B268" s="20"/>
      <c r="C268" s="176"/>
      <c r="D268" s="73"/>
      <c r="E268" s="73"/>
      <c r="F268" s="1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123"/>
      <c r="B269" s="20"/>
      <c r="C269" s="176"/>
      <c r="D269" s="73"/>
      <c r="E269" s="73"/>
      <c r="F269" s="1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123"/>
      <c r="B270" s="20"/>
      <c r="C270" s="176"/>
      <c r="D270" s="73"/>
      <c r="E270" s="73"/>
      <c r="F270" s="1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123"/>
      <c r="B271" s="20"/>
      <c r="C271" s="176"/>
      <c r="D271" s="73"/>
      <c r="E271" s="73"/>
      <c r="F271" s="1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123"/>
      <c r="B272" s="20"/>
      <c r="C272" s="176"/>
      <c r="D272" s="73"/>
      <c r="E272" s="73"/>
      <c r="F272" s="1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123"/>
      <c r="B273" s="20"/>
      <c r="C273" s="176"/>
      <c r="D273" s="73"/>
      <c r="E273" s="73"/>
      <c r="F273" s="1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123"/>
      <c r="B274" s="20"/>
      <c r="C274" s="176"/>
      <c r="D274" s="73"/>
      <c r="E274" s="73"/>
      <c r="F274" s="1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123"/>
      <c r="B275" s="20"/>
      <c r="C275" s="176"/>
      <c r="D275" s="73"/>
      <c r="E275" s="73"/>
      <c r="F275" s="1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123"/>
      <c r="B276" s="20"/>
      <c r="C276" s="176"/>
      <c r="D276" s="73"/>
      <c r="E276" s="73"/>
      <c r="F276" s="1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123"/>
      <c r="B277" s="20"/>
      <c r="C277" s="176"/>
      <c r="D277" s="73"/>
      <c r="E277" s="73"/>
      <c r="F277" s="1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123"/>
      <c r="B278" s="20"/>
      <c r="C278" s="176"/>
      <c r="D278" s="73"/>
      <c r="E278" s="73"/>
      <c r="F278" s="1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123"/>
      <c r="B279" s="20"/>
      <c r="C279" s="176"/>
      <c r="D279" s="73"/>
      <c r="E279" s="73"/>
      <c r="F279" s="1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123"/>
      <c r="B280" s="20"/>
      <c r="C280" s="176"/>
      <c r="D280" s="73"/>
      <c r="E280" s="73"/>
      <c r="F280" s="1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123"/>
      <c r="B281" s="20"/>
      <c r="C281" s="176"/>
      <c r="D281" s="73"/>
      <c r="E281" s="73"/>
      <c r="F281" s="1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123"/>
      <c r="B282" s="20"/>
      <c r="C282" s="176"/>
      <c r="D282" s="73"/>
      <c r="E282" s="73"/>
      <c r="F282" s="1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123"/>
      <c r="B283" s="20"/>
      <c r="C283" s="176"/>
      <c r="D283" s="73"/>
      <c r="E283" s="73"/>
      <c r="F283" s="1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123"/>
      <c r="B284" s="20"/>
      <c r="C284" s="176"/>
      <c r="D284" s="73"/>
      <c r="E284" s="73"/>
      <c r="F284" s="1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123"/>
      <c r="B285" s="20"/>
      <c r="C285" s="176"/>
      <c r="D285" s="73"/>
      <c r="E285" s="73"/>
      <c r="F285" s="1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123"/>
      <c r="B286" s="20"/>
      <c r="C286" s="176"/>
      <c r="D286" s="73"/>
      <c r="E286" s="73"/>
      <c r="F286" s="1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123"/>
      <c r="B287" s="20"/>
      <c r="C287" s="176"/>
      <c r="D287" s="73"/>
      <c r="E287" s="73"/>
      <c r="F287" s="1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123"/>
      <c r="B288" s="20"/>
      <c r="C288" s="176"/>
      <c r="D288" s="73"/>
      <c r="E288" s="73"/>
      <c r="F288" s="1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123"/>
      <c r="B289" s="20"/>
      <c r="C289" s="176"/>
      <c r="D289" s="73"/>
      <c r="E289" s="73"/>
      <c r="F289" s="1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123"/>
      <c r="B290" s="20"/>
      <c r="C290" s="176"/>
      <c r="D290" s="73"/>
      <c r="E290" s="73"/>
      <c r="F290" s="1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123"/>
      <c r="B291" s="20"/>
      <c r="C291" s="176"/>
      <c r="D291" s="73"/>
      <c r="E291" s="73"/>
      <c r="F291" s="1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123"/>
      <c r="B292" s="20"/>
      <c r="C292" s="176"/>
      <c r="D292" s="73"/>
      <c r="E292" s="73"/>
      <c r="F292" s="1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123"/>
      <c r="B293" s="20"/>
      <c r="C293" s="176"/>
      <c r="D293" s="73"/>
      <c r="E293" s="73"/>
      <c r="F293" s="1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123"/>
      <c r="B294" s="20"/>
      <c r="C294" s="176"/>
      <c r="D294" s="73"/>
      <c r="E294" s="73"/>
      <c r="F294" s="1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123"/>
      <c r="B295" s="20"/>
      <c r="C295" s="176"/>
      <c r="D295" s="73"/>
      <c r="E295" s="73"/>
      <c r="F295" s="1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123"/>
      <c r="B296" s="20"/>
      <c r="C296" s="176"/>
      <c r="D296" s="73"/>
      <c r="E296" s="73"/>
      <c r="F296" s="1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123"/>
      <c r="B297" s="20"/>
      <c r="C297" s="176"/>
      <c r="D297" s="73"/>
      <c r="E297" s="73"/>
      <c r="F297" s="1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123"/>
      <c r="B298" s="20"/>
      <c r="C298" s="176"/>
      <c r="D298" s="73"/>
      <c r="E298" s="73"/>
      <c r="F298" s="1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123"/>
      <c r="B299" s="20"/>
      <c r="C299" s="176"/>
      <c r="D299" s="73"/>
      <c r="E299" s="73"/>
      <c r="F299" s="1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123"/>
      <c r="B300" s="20"/>
      <c r="C300" s="176"/>
      <c r="D300" s="73"/>
      <c r="E300" s="73"/>
      <c r="F300" s="1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123"/>
      <c r="B301" s="20"/>
      <c r="C301" s="176"/>
      <c r="D301" s="73"/>
      <c r="E301" s="73"/>
      <c r="F301" s="1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123"/>
      <c r="B302" s="20"/>
      <c r="C302" s="176"/>
      <c r="D302" s="73"/>
      <c r="E302" s="73"/>
      <c r="F302" s="1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123"/>
      <c r="B303" s="20"/>
      <c r="C303" s="176"/>
      <c r="D303" s="73"/>
      <c r="E303" s="73"/>
      <c r="F303" s="1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123"/>
      <c r="B304" s="20"/>
      <c r="C304" s="176"/>
      <c r="D304" s="73"/>
      <c r="E304" s="73"/>
      <c r="F304" s="1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123"/>
      <c r="B305" s="20"/>
      <c r="C305" s="176"/>
      <c r="D305" s="73"/>
      <c r="E305" s="73"/>
      <c r="F305" s="1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123"/>
      <c r="B306" s="20"/>
      <c r="C306" s="176"/>
      <c r="D306" s="73"/>
      <c r="E306" s="73"/>
      <c r="F306" s="1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123"/>
      <c r="B307" s="20"/>
      <c r="C307" s="176"/>
      <c r="D307" s="73"/>
      <c r="E307" s="73"/>
      <c r="F307" s="1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123"/>
      <c r="B308" s="20"/>
      <c r="C308" s="176"/>
      <c r="D308" s="73"/>
      <c r="E308" s="73"/>
      <c r="F308" s="1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123"/>
      <c r="B309" s="20"/>
      <c r="C309" s="176"/>
      <c r="D309" s="73"/>
      <c r="E309" s="73"/>
      <c r="F309" s="1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123"/>
      <c r="B310" s="20"/>
      <c r="C310" s="176"/>
      <c r="D310" s="73"/>
      <c r="E310" s="73"/>
      <c r="F310" s="1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123"/>
      <c r="B311" s="20"/>
      <c r="C311" s="176"/>
      <c r="D311" s="73"/>
      <c r="E311" s="73"/>
      <c r="F311" s="1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123"/>
      <c r="B312" s="20"/>
      <c r="C312" s="176"/>
      <c r="D312" s="73"/>
      <c r="E312" s="73"/>
      <c r="F312" s="1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123"/>
      <c r="B313" s="20"/>
      <c r="C313" s="176"/>
      <c r="D313" s="73"/>
      <c r="E313" s="73"/>
      <c r="F313" s="1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123"/>
      <c r="B314" s="20"/>
      <c r="C314" s="176"/>
      <c r="D314" s="73"/>
      <c r="E314" s="73"/>
      <c r="F314" s="1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123"/>
      <c r="B315" s="20"/>
      <c r="C315" s="176"/>
      <c r="D315" s="73"/>
      <c r="E315" s="73"/>
      <c r="F315" s="1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123"/>
      <c r="B316" s="20"/>
      <c r="C316" s="176"/>
      <c r="D316" s="73"/>
      <c r="E316" s="73"/>
      <c r="F316" s="1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123"/>
      <c r="B317" s="20"/>
      <c r="C317" s="176"/>
      <c r="D317" s="73"/>
      <c r="E317" s="73"/>
      <c r="F317" s="1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123"/>
      <c r="B318" s="20"/>
      <c r="C318" s="176"/>
      <c r="D318" s="73"/>
      <c r="E318" s="73"/>
      <c r="F318" s="1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123"/>
      <c r="B319" s="20"/>
      <c r="C319" s="176"/>
      <c r="D319" s="73"/>
      <c r="E319" s="73"/>
      <c r="F319" s="1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123"/>
      <c r="B320" s="20"/>
      <c r="C320" s="176"/>
      <c r="D320" s="73"/>
      <c r="E320" s="73"/>
      <c r="F320" s="1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123"/>
      <c r="B321" s="20"/>
      <c r="C321" s="176"/>
      <c r="D321" s="73"/>
      <c r="E321" s="73"/>
      <c r="F321" s="1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123"/>
      <c r="B322" s="20"/>
      <c r="C322" s="176"/>
      <c r="D322" s="73"/>
      <c r="E322" s="73"/>
      <c r="F322" s="1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123"/>
      <c r="B323" s="20"/>
      <c r="C323" s="176"/>
      <c r="D323" s="73"/>
      <c r="E323" s="73"/>
      <c r="F323" s="1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123"/>
      <c r="B324" s="20"/>
      <c r="C324" s="176"/>
      <c r="D324" s="73"/>
      <c r="E324" s="73"/>
      <c r="F324" s="1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123"/>
      <c r="B325" s="20"/>
      <c r="C325" s="176"/>
      <c r="D325" s="73"/>
      <c r="E325" s="73"/>
      <c r="F325" s="1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123"/>
      <c r="B326" s="20"/>
      <c r="C326" s="176"/>
      <c r="D326" s="73"/>
      <c r="E326" s="73"/>
      <c r="F326" s="1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123"/>
      <c r="B327" s="20"/>
      <c r="C327" s="176"/>
      <c r="D327" s="73"/>
      <c r="E327" s="73"/>
      <c r="F327" s="1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123"/>
      <c r="B328" s="20"/>
      <c r="C328" s="176"/>
      <c r="D328" s="73"/>
      <c r="E328" s="73"/>
      <c r="F328" s="1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123"/>
      <c r="B329" s="20"/>
      <c r="C329" s="176"/>
      <c r="D329" s="73"/>
      <c r="E329" s="73"/>
      <c r="F329" s="1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123"/>
      <c r="B330" s="20"/>
      <c r="C330" s="176"/>
      <c r="D330" s="73"/>
      <c r="E330" s="73"/>
      <c r="F330" s="1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123"/>
      <c r="B331" s="20"/>
      <c r="C331" s="176"/>
      <c r="D331" s="73"/>
      <c r="E331" s="73"/>
      <c r="F331" s="1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123"/>
      <c r="B332" s="20"/>
      <c r="C332" s="176"/>
      <c r="D332" s="73"/>
      <c r="E332" s="73"/>
      <c r="F332" s="1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123"/>
      <c r="B333" s="20"/>
      <c r="C333" s="176"/>
      <c r="D333" s="73"/>
      <c r="E333" s="73"/>
      <c r="F333" s="1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123"/>
      <c r="B334" s="20"/>
      <c r="C334" s="176"/>
      <c r="D334" s="73"/>
      <c r="E334" s="73"/>
      <c r="F334" s="1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123"/>
      <c r="B335" s="20"/>
      <c r="C335" s="176"/>
      <c r="D335" s="73"/>
      <c r="E335" s="73"/>
      <c r="F335" s="1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123"/>
      <c r="B336" s="20"/>
      <c r="C336" s="176"/>
      <c r="D336" s="73"/>
      <c r="E336" s="73"/>
      <c r="F336" s="1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123"/>
      <c r="B337" s="20"/>
      <c r="C337" s="176"/>
      <c r="D337" s="73"/>
      <c r="E337" s="73"/>
      <c r="F337" s="1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123"/>
      <c r="B338" s="20"/>
      <c r="C338" s="176"/>
      <c r="D338" s="73"/>
      <c r="E338" s="73"/>
      <c r="F338" s="1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123"/>
      <c r="B339" s="20"/>
      <c r="C339" s="176"/>
      <c r="D339" s="73"/>
      <c r="E339" s="73"/>
      <c r="F339" s="1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123"/>
      <c r="B340" s="20"/>
      <c r="C340" s="176"/>
      <c r="D340" s="73"/>
      <c r="E340" s="73"/>
      <c r="F340" s="1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123"/>
      <c r="B341" s="20"/>
      <c r="C341" s="176"/>
      <c r="D341" s="73"/>
      <c r="E341" s="73"/>
      <c r="F341" s="1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123"/>
      <c r="B342" s="20"/>
      <c r="C342" s="176"/>
      <c r="D342" s="73"/>
      <c r="E342" s="73"/>
      <c r="F342" s="1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123"/>
      <c r="B343" s="20"/>
      <c r="C343" s="176"/>
      <c r="D343" s="73"/>
      <c r="E343" s="73"/>
      <c r="F343" s="1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123"/>
      <c r="B344" s="20"/>
      <c r="C344" s="176"/>
      <c r="D344" s="73"/>
      <c r="E344" s="73"/>
      <c r="F344" s="1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123"/>
      <c r="B345" s="20"/>
      <c r="C345" s="176"/>
      <c r="D345" s="73"/>
      <c r="E345" s="73"/>
      <c r="F345" s="1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123"/>
      <c r="B346" s="20"/>
      <c r="C346" s="176"/>
      <c r="D346" s="73"/>
      <c r="E346" s="73"/>
      <c r="F346" s="1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123"/>
      <c r="B347" s="20"/>
      <c r="C347" s="176"/>
      <c r="D347" s="73"/>
      <c r="E347" s="73"/>
      <c r="F347" s="1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123"/>
      <c r="B348" s="20"/>
      <c r="C348" s="176"/>
      <c r="D348" s="73"/>
      <c r="E348" s="73"/>
      <c r="F348" s="1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123"/>
      <c r="B349" s="20"/>
      <c r="C349" s="176"/>
      <c r="D349" s="73"/>
      <c r="E349" s="73"/>
      <c r="F349" s="1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123"/>
      <c r="B350" s="20"/>
      <c r="C350" s="176"/>
      <c r="D350" s="73"/>
      <c r="E350" s="73"/>
      <c r="F350" s="1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123"/>
      <c r="B351" s="20"/>
      <c r="C351" s="176"/>
      <c r="D351" s="73"/>
      <c r="E351" s="73"/>
      <c r="F351" s="1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123"/>
      <c r="B352" s="20"/>
      <c r="C352" s="176"/>
      <c r="D352" s="73"/>
      <c r="E352" s="73"/>
      <c r="F352" s="1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123"/>
      <c r="B353" s="20"/>
      <c r="C353" s="176"/>
      <c r="D353" s="73"/>
      <c r="E353" s="73"/>
      <c r="F353" s="1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123"/>
      <c r="B354" s="20"/>
      <c r="C354" s="176"/>
      <c r="D354" s="73"/>
      <c r="E354" s="73"/>
      <c r="F354" s="1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123"/>
      <c r="B355" s="20"/>
      <c r="C355" s="176"/>
      <c r="D355" s="73"/>
      <c r="E355" s="73"/>
      <c r="F355" s="1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123"/>
      <c r="B356" s="20"/>
      <c r="C356" s="176"/>
      <c r="D356" s="73"/>
      <c r="E356" s="73"/>
      <c r="F356" s="1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123"/>
      <c r="B357" s="20"/>
      <c r="C357" s="176"/>
      <c r="D357" s="73"/>
      <c r="E357" s="73"/>
      <c r="F357" s="1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123"/>
      <c r="B358" s="20"/>
      <c r="C358" s="176"/>
      <c r="D358" s="73"/>
      <c r="E358" s="73"/>
      <c r="F358" s="1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123"/>
      <c r="B359" s="20"/>
      <c r="C359" s="176"/>
      <c r="D359" s="73"/>
      <c r="E359" s="73"/>
      <c r="F359" s="1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123"/>
      <c r="B360" s="20"/>
      <c r="C360" s="176"/>
      <c r="D360" s="73"/>
      <c r="E360" s="73"/>
      <c r="F360" s="1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123"/>
      <c r="B361" s="20"/>
      <c r="C361" s="176"/>
      <c r="D361" s="73"/>
      <c r="E361" s="73"/>
      <c r="F361" s="1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123"/>
      <c r="B362" s="20"/>
      <c r="C362" s="176"/>
      <c r="D362" s="73"/>
      <c r="E362" s="73"/>
      <c r="F362" s="1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123"/>
      <c r="B363" s="20"/>
      <c r="C363" s="176"/>
      <c r="D363" s="73"/>
      <c r="E363" s="73"/>
      <c r="F363" s="1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123"/>
      <c r="B364" s="20"/>
      <c r="C364" s="176"/>
      <c r="D364" s="73"/>
      <c r="E364" s="73"/>
      <c r="F364" s="1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123"/>
      <c r="B365" s="20"/>
      <c r="C365" s="176"/>
      <c r="D365" s="73"/>
      <c r="E365" s="73"/>
      <c r="F365" s="1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123"/>
      <c r="B366" s="20"/>
      <c r="C366" s="176"/>
      <c r="D366" s="73"/>
      <c r="E366" s="73"/>
      <c r="F366" s="1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123"/>
      <c r="B367" s="20"/>
      <c r="C367" s="176"/>
      <c r="D367" s="73"/>
      <c r="E367" s="73"/>
      <c r="F367" s="1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123"/>
      <c r="B368" s="20"/>
      <c r="C368" s="176"/>
      <c r="D368" s="73"/>
      <c r="E368" s="73"/>
      <c r="F368" s="1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123"/>
      <c r="B369" s="20"/>
      <c r="C369" s="176"/>
      <c r="D369" s="73"/>
      <c r="E369" s="73"/>
      <c r="F369" s="1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123"/>
      <c r="B370" s="20"/>
      <c r="C370" s="176"/>
      <c r="D370" s="73"/>
      <c r="E370" s="73"/>
      <c r="F370" s="1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123"/>
      <c r="B371" s="20"/>
      <c r="C371" s="176"/>
      <c r="D371" s="73"/>
      <c r="E371" s="73"/>
      <c r="F371" s="1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123"/>
      <c r="B372" s="20"/>
      <c r="C372" s="176"/>
      <c r="D372" s="73"/>
      <c r="E372" s="73"/>
      <c r="F372" s="1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123"/>
      <c r="B373" s="20"/>
      <c r="C373" s="176"/>
      <c r="D373" s="73"/>
      <c r="E373" s="73"/>
      <c r="F373" s="1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123"/>
      <c r="B374" s="20"/>
      <c r="C374" s="176"/>
      <c r="D374" s="73"/>
      <c r="E374" s="73"/>
      <c r="F374" s="1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123"/>
      <c r="B375" s="20"/>
      <c r="C375" s="176"/>
      <c r="D375" s="73"/>
      <c r="E375" s="73"/>
      <c r="F375" s="1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123"/>
      <c r="B376" s="20"/>
      <c r="C376" s="176"/>
      <c r="D376" s="73"/>
      <c r="E376" s="73"/>
      <c r="F376" s="1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123"/>
      <c r="B377" s="20"/>
      <c r="C377" s="176"/>
      <c r="D377" s="73"/>
      <c r="E377" s="73"/>
      <c r="F377" s="1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123"/>
      <c r="B378" s="20"/>
      <c r="C378" s="176"/>
      <c r="D378" s="73"/>
      <c r="E378" s="73"/>
      <c r="F378" s="1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123"/>
      <c r="B379" s="20"/>
      <c r="C379" s="176"/>
      <c r="D379" s="73"/>
      <c r="E379" s="73"/>
      <c r="F379" s="1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123"/>
      <c r="B380" s="20"/>
      <c r="C380" s="176"/>
      <c r="D380" s="73"/>
      <c r="E380" s="73"/>
      <c r="F380" s="1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123"/>
      <c r="B381" s="20"/>
      <c r="C381" s="176"/>
      <c r="D381" s="73"/>
      <c r="E381" s="73"/>
      <c r="F381" s="1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123"/>
      <c r="B382" s="20"/>
      <c r="C382" s="176"/>
      <c r="D382" s="73"/>
      <c r="E382" s="73"/>
      <c r="F382" s="1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123"/>
      <c r="B383" s="20"/>
      <c r="C383" s="176"/>
      <c r="D383" s="73"/>
      <c r="E383" s="73"/>
      <c r="F383" s="1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123"/>
      <c r="B384" s="20"/>
      <c r="C384" s="176"/>
      <c r="D384" s="73"/>
      <c r="E384" s="73"/>
      <c r="F384" s="1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123"/>
      <c r="B385" s="20"/>
      <c r="C385" s="176"/>
      <c r="D385" s="73"/>
      <c r="E385" s="73"/>
      <c r="F385" s="1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123"/>
      <c r="B386" s="20"/>
      <c r="C386" s="176"/>
      <c r="D386" s="73"/>
      <c r="E386" s="73"/>
      <c r="F386" s="1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123"/>
      <c r="B387" s="20"/>
      <c r="C387" s="176"/>
      <c r="D387" s="73"/>
      <c r="E387" s="73"/>
      <c r="F387" s="1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123"/>
      <c r="B388" s="20"/>
      <c r="C388" s="176"/>
      <c r="D388" s="73"/>
      <c r="E388" s="73"/>
      <c r="F388" s="1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123"/>
      <c r="B389" s="20"/>
      <c r="C389" s="176"/>
      <c r="D389" s="73"/>
      <c r="E389" s="73"/>
      <c r="F389" s="1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123"/>
      <c r="B390" s="20"/>
      <c r="C390" s="176"/>
      <c r="D390" s="73"/>
      <c r="E390" s="73"/>
      <c r="F390" s="1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123"/>
      <c r="B391" s="20"/>
      <c r="C391" s="176"/>
      <c r="D391" s="73"/>
      <c r="E391" s="73"/>
      <c r="F391" s="1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123"/>
      <c r="B392" s="20"/>
      <c r="C392" s="176"/>
      <c r="D392" s="73"/>
      <c r="E392" s="73"/>
      <c r="F392" s="1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123"/>
      <c r="B393" s="20"/>
      <c r="C393" s="176"/>
      <c r="D393" s="73"/>
      <c r="E393" s="73"/>
      <c r="F393" s="1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123"/>
      <c r="B394" s="20"/>
      <c r="C394" s="176"/>
      <c r="D394" s="73"/>
      <c r="E394" s="73"/>
      <c r="F394" s="1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123"/>
      <c r="B395" s="20"/>
      <c r="C395" s="176"/>
      <c r="D395" s="73"/>
      <c r="E395" s="73"/>
      <c r="F395" s="1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123"/>
      <c r="B396" s="20"/>
      <c r="C396" s="176"/>
      <c r="D396" s="73"/>
      <c r="E396" s="73"/>
      <c r="F396" s="1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123"/>
      <c r="B397" s="20"/>
      <c r="C397" s="176"/>
      <c r="D397" s="73"/>
      <c r="E397" s="73"/>
      <c r="F397" s="1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123"/>
      <c r="B398" s="20"/>
      <c r="C398" s="176"/>
      <c r="D398" s="73"/>
      <c r="E398" s="73"/>
      <c r="F398" s="1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123"/>
      <c r="B399" s="20"/>
      <c r="C399" s="176"/>
      <c r="D399" s="73"/>
      <c r="E399" s="73"/>
      <c r="F399" s="1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123"/>
      <c r="B400" s="20"/>
      <c r="C400" s="176"/>
      <c r="D400" s="73"/>
      <c r="E400" s="73"/>
      <c r="F400" s="1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123"/>
      <c r="B401" s="20"/>
      <c r="C401" s="176"/>
      <c r="D401" s="73"/>
      <c r="E401" s="73"/>
      <c r="F401" s="1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123"/>
      <c r="B402" s="20"/>
      <c r="C402" s="176"/>
      <c r="D402" s="73"/>
      <c r="E402" s="73"/>
      <c r="F402" s="1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123"/>
      <c r="B403" s="20"/>
      <c r="C403" s="176"/>
      <c r="D403" s="73"/>
      <c r="E403" s="73"/>
      <c r="F403" s="1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123"/>
      <c r="B404" s="20"/>
      <c r="C404" s="176"/>
      <c r="D404" s="73"/>
      <c r="E404" s="73"/>
      <c r="F404" s="1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123"/>
      <c r="B405" s="20"/>
      <c r="C405" s="176"/>
      <c r="D405" s="73"/>
      <c r="E405" s="73"/>
      <c r="F405" s="1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123"/>
      <c r="B406" s="20"/>
      <c r="C406" s="176"/>
      <c r="D406" s="73"/>
      <c r="E406" s="73"/>
      <c r="F406" s="1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123"/>
      <c r="B407" s="20"/>
      <c r="C407" s="176"/>
      <c r="D407" s="73"/>
      <c r="E407" s="73"/>
      <c r="F407" s="1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123"/>
      <c r="B408" s="20"/>
      <c r="C408" s="176"/>
      <c r="D408" s="73"/>
      <c r="E408" s="73"/>
      <c r="F408" s="1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123"/>
      <c r="B409" s="20"/>
      <c r="C409" s="176"/>
      <c r="D409" s="73"/>
      <c r="E409" s="73"/>
      <c r="F409" s="1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123"/>
      <c r="B410" s="20"/>
      <c r="C410" s="176"/>
      <c r="D410" s="73"/>
      <c r="E410" s="73"/>
      <c r="F410" s="1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123"/>
      <c r="B411" s="20"/>
      <c r="C411" s="176"/>
      <c r="D411" s="73"/>
      <c r="E411" s="73"/>
      <c r="F411" s="1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123"/>
      <c r="B412" s="20"/>
      <c r="C412" s="176"/>
      <c r="D412" s="73"/>
      <c r="E412" s="73"/>
      <c r="F412" s="1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123"/>
      <c r="B413" s="20"/>
      <c r="C413" s="176"/>
      <c r="D413" s="73"/>
      <c r="E413" s="73"/>
      <c r="F413" s="1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123"/>
      <c r="B414" s="20"/>
      <c r="C414" s="176"/>
      <c r="D414" s="73"/>
      <c r="E414" s="73"/>
      <c r="F414" s="1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123"/>
      <c r="B415" s="20"/>
      <c r="C415" s="176"/>
      <c r="D415" s="73"/>
      <c r="E415" s="73"/>
      <c r="F415" s="1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123"/>
      <c r="B416" s="20"/>
      <c r="C416" s="176"/>
      <c r="D416" s="73"/>
      <c r="E416" s="73"/>
      <c r="F416" s="1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123"/>
      <c r="B417" s="20"/>
      <c r="C417" s="176"/>
      <c r="D417" s="73"/>
      <c r="E417" s="73"/>
      <c r="F417" s="1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123"/>
      <c r="B418" s="20"/>
      <c r="C418" s="176"/>
      <c r="D418" s="73"/>
      <c r="E418" s="73"/>
      <c r="F418" s="1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123"/>
      <c r="B419" s="20"/>
      <c r="C419" s="176"/>
      <c r="D419" s="73"/>
      <c r="E419" s="73"/>
      <c r="F419" s="1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123"/>
      <c r="B420" s="20"/>
      <c r="C420" s="176"/>
      <c r="D420" s="73"/>
      <c r="E420" s="73"/>
      <c r="F420" s="1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123"/>
      <c r="B421" s="20"/>
      <c r="C421" s="176"/>
      <c r="D421" s="73"/>
      <c r="E421" s="73"/>
      <c r="F421" s="1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123"/>
      <c r="B422" s="20"/>
      <c r="C422" s="176"/>
      <c r="D422" s="73"/>
      <c r="E422" s="73"/>
      <c r="F422" s="1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123"/>
      <c r="B423" s="20"/>
      <c r="C423" s="176"/>
      <c r="D423" s="73"/>
      <c r="E423" s="73"/>
      <c r="F423" s="1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123"/>
      <c r="B424" s="20"/>
      <c r="C424" s="176"/>
      <c r="D424" s="73"/>
      <c r="E424" s="73"/>
      <c r="F424" s="1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123"/>
      <c r="B425" s="20"/>
      <c r="C425" s="176"/>
      <c r="D425" s="73"/>
      <c r="E425" s="73"/>
      <c r="F425" s="1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123"/>
      <c r="B426" s="20"/>
      <c r="C426" s="176"/>
      <c r="D426" s="73"/>
      <c r="E426" s="73"/>
      <c r="F426" s="1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123"/>
      <c r="B427" s="20"/>
      <c r="C427" s="176"/>
      <c r="D427" s="73"/>
      <c r="E427" s="73"/>
      <c r="F427" s="1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123"/>
      <c r="B428" s="20"/>
      <c r="C428" s="176"/>
      <c r="D428" s="73"/>
      <c r="E428" s="73"/>
      <c r="F428" s="1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123"/>
      <c r="B429" s="20"/>
      <c r="C429" s="176"/>
      <c r="D429" s="73"/>
      <c r="E429" s="73"/>
      <c r="F429" s="1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123"/>
      <c r="B430" s="20"/>
      <c r="C430" s="176"/>
      <c r="D430" s="73"/>
      <c r="E430" s="73"/>
      <c r="F430" s="1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123"/>
      <c r="B431" s="20"/>
      <c r="C431" s="176"/>
      <c r="D431" s="73"/>
      <c r="E431" s="73"/>
      <c r="F431" s="1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123"/>
      <c r="B432" s="20"/>
      <c r="C432" s="176"/>
      <c r="D432" s="73"/>
      <c r="E432" s="73"/>
      <c r="F432" s="1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123"/>
      <c r="B433" s="20"/>
      <c r="C433" s="176"/>
      <c r="D433" s="73"/>
      <c r="E433" s="73"/>
      <c r="F433" s="1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123"/>
      <c r="B434" s="20"/>
      <c r="C434" s="176"/>
      <c r="D434" s="73"/>
      <c r="E434" s="73"/>
      <c r="F434" s="1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123"/>
      <c r="B435" s="20"/>
      <c r="C435" s="176"/>
      <c r="D435" s="73"/>
      <c r="E435" s="73"/>
      <c r="F435" s="1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123"/>
      <c r="B436" s="20"/>
      <c r="C436" s="176"/>
      <c r="D436" s="73"/>
      <c r="E436" s="73"/>
      <c r="F436" s="1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123"/>
      <c r="B437" s="20"/>
      <c r="C437" s="176"/>
      <c r="D437" s="73"/>
      <c r="E437" s="73"/>
      <c r="F437" s="1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123"/>
      <c r="B438" s="20"/>
      <c r="C438" s="176"/>
      <c r="D438" s="73"/>
      <c r="E438" s="73"/>
      <c r="F438" s="1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123"/>
      <c r="B439" s="20"/>
      <c r="C439" s="176"/>
      <c r="D439" s="73"/>
      <c r="E439" s="73"/>
      <c r="F439" s="1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123"/>
      <c r="B440" s="20"/>
      <c r="C440" s="176"/>
      <c r="D440" s="73"/>
      <c r="E440" s="73"/>
      <c r="F440" s="1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123"/>
      <c r="B441" s="20"/>
      <c r="C441" s="176"/>
      <c r="D441" s="73"/>
      <c r="E441" s="73"/>
      <c r="F441" s="1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123"/>
      <c r="B442" s="20"/>
      <c r="C442" s="176"/>
      <c r="D442" s="73"/>
      <c r="E442" s="73"/>
      <c r="F442" s="1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123"/>
      <c r="B443" s="20"/>
      <c r="C443" s="176"/>
      <c r="D443" s="73"/>
      <c r="E443" s="73"/>
      <c r="F443" s="1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123"/>
      <c r="B444" s="20"/>
      <c r="C444" s="176"/>
      <c r="D444" s="73"/>
      <c r="E444" s="73"/>
      <c r="F444" s="1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123"/>
      <c r="B445" s="20"/>
      <c r="C445" s="176"/>
      <c r="D445" s="73"/>
      <c r="E445" s="73"/>
      <c r="F445" s="1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123"/>
      <c r="B446" s="20"/>
      <c r="C446" s="176"/>
      <c r="D446" s="73"/>
      <c r="E446" s="73"/>
      <c r="F446" s="1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123"/>
      <c r="B447" s="20"/>
      <c r="C447" s="176"/>
      <c r="D447" s="73"/>
      <c r="E447" s="73"/>
      <c r="F447" s="1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123"/>
      <c r="B448" s="20"/>
      <c r="C448" s="176"/>
      <c r="D448" s="73"/>
      <c r="E448" s="73"/>
      <c r="F448" s="1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123"/>
      <c r="B449" s="20"/>
      <c r="C449" s="176"/>
      <c r="D449" s="73"/>
      <c r="E449" s="73"/>
      <c r="F449" s="1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123"/>
      <c r="B450" s="20"/>
      <c r="C450" s="176"/>
      <c r="D450" s="73"/>
      <c r="E450" s="73"/>
      <c r="F450" s="1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123"/>
      <c r="B451" s="20"/>
      <c r="C451" s="176"/>
      <c r="D451" s="73"/>
      <c r="E451" s="73"/>
      <c r="F451" s="1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123"/>
      <c r="B452" s="20"/>
      <c r="C452" s="176"/>
      <c r="D452" s="73"/>
      <c r="E452" s="73"/>
      <c r="F452" s="1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123"/>
      <c r="B453" s="20"/>
      <c r="C453" s="176"/>
      <c r="D453" s="73"/>
      <c r="E453" s="73"/>
      <c r="F453" s="1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123"/>
      <c r="B454" s="20"/>
      <c r="C454" s="176"/>
      <c r="D454" s="73"/>
      <c r="E454" s="73"/>
      <c r="F454" s="1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123"/>
      <c r="B455" s="20"/>
      <c r="C455" s="176"/>
      <c r="D455" s="73"/>
      <c r="E455" s="73"/>
      <c r="F455" s="1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123"/>
      <c r="B456" s="20"/>
      <c r="C456" s="176"/>
      <c r="D456" s="73"/>
      <c r="E456" s="73"/>
      <c r="F456" s="1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123"/>
      <c r="B457" s="20"/>
      <c r="C457" s="176"/>
      <c r="D457" s="73"/>
      <c r="E457" s="73"/>
      <c r="F457" s="1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123"/>
      <c r="B458" s="20"/>
      <c r="C458" s="176"/>
      <c r="D458" s="73"/>
      <c r="E458" s="73"/>
      <c r="F458" s="1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123"/>
      <c r="B459" s="20"/>
      <c r="C459" s="176"/>
      <c r="D459" s="73"/>
      <c r="E459" s="73"/>
      <c r="F459" s="1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123"/>
      <c r="B460" s="20"/>
      <c r="C460" s="176"/>
      <c r="D460" s="73"/>
      <c r="E460" s="73"/>
      <c r="F460" s="1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123"/>
      <c r="B461" s="20"/>
      <c r="C461" s="176"/>
      <c r="D461" s="73"/>
      <c r="E461" s="73"/>
      <c r="F461" s="1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123"/>
      <c r="B462" s="20"/>
      <c r="C462" s="176"/>
      <c r="D462" s="73"/>
      <c r="E462" s="73"/>
      <c r="F462" s="1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123"/>
      <c r="B463" s="20"/>
      <c r="C463" s="176"/>
      <c r="D463" s="73"/>
      <c r="E463" s="73"/>
      <c r="F463" s="1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123"/>
      <c r="B464" s="20"/>
      <c r="C464" s="176"/>
      <c r="D464" s="73"/>
      <c r="E464" s="73"/>
      <c r="F464" s="1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123"/>
      <c r="B465" s="20"/>
      <c r="C465" s="176"/>
      <c r="D465" s="73"/>
      <c r="E465" s="73"/>
      <c r="F465" s="1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123"/>
      <c r="B466" s="20"/>
      <c r="C466" s="176"/>
      <c r="D466" s="73"/>
      <c r="E466" s="73"/>
      <c r="F466" s="1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123"/>
      <c r="B467" s="20"/>
      <c r="C467" s="176"/>
      <c r="D467" s="73"/>
      <c r="E467" s="73"/>
      <c r="F467" s="1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123"/>
      <c r="B468" s="20"/>
      <c r="C468" s="176"/>
      <c r="D468" s="73"/>
      <c r="E468" s="73"/>
      <c r="F468" s="1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123"/>
      <c r="B469" s="20"/>
      <c r="C469" s="176"/>
      <c r="D469" s="73"/>
      <c r="E469" s="73"/>
      <c r="F469" s="1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123"/>
      <c r="B470" s="20"/>
      <c r="C470" s="176"/>
      <c r="D470" s="73"/>
      <c r="E470" s="73"/>
      <c r="F470" s="1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123"/>
      <c r="B471" s="20"/>
      <c r="C471" s="176"/>
      <c r="D471" s="73"/>
      <c r="E471" s="73"/>
      <c r="F471" s="1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123"/>
      <c r="B472" s="20"/>
      <c r="C472" s="176"/>
      <c r="D472" s="73"/>
      <c r="E472" s="73"/>
      <c r="F472" s="1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123"/>
      <c r="B473" s="20"/>
      <c r="C473" s="176"/>
      <c r="D473" s="73"/>
      <c r="E473" s="73"/>
      <c r="F473" s="1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123"/>
      <c r="B474" s="20"/>
      <c r="C474" s="176"/>
      <c r="D474" s="73"/>
      <c r="E474" s="73"/>
      <c r="F474" s="1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123"/>
      <c r="B475" s="20"/>
      <c r="C475" s="176"/>
      <c r="D475" s="73"/>
      <c r="E475" s="73"/>
      <c r="F475" s="1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123"/>
      <c r="B476" s="20"/>
      <c r="C476" s="176"/>
      <c r="D476" s="73"/>
      <c r="E476" s="73"/>
      <c r="F476" s="1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123"/>
      <c r="B477" s="20"/>
      <c r="C477" s="176"/>
      <c r="D477" s="73"/>
      <c r="E477" s="73"/>
      <c r="F477" s="1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123"/>
      <c r="B478" s="20"/>
      <c r="C478" s="176"/>
      <c r="D478" s="73"/>
      <c r="E478" s="73"/>
      <c r="F478" s="1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123"/>
      <c r="B479" s="20"/>
      <c r="C479" s="176"/>
      <c r="D479" s="73"/>
      <c r="E479" s="73"/>
      <c r="F479" s="1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123"/>
      <c r="B480" s="20"/>
      <c r="C480" s="176"/>
      <c r="D480" s="73"/>
      <c r="E480" s="73"/>
      <c r="F480" s="1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123"/>
      <c r="B481" s="20"/>
      <c r="C481" s="176"/>
      <c r="D481" s="73"/>
      <c r="E481" s="73"/>
      <c r="F481" s="1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123"/>
      <c r="B482" s="20"/>
      <c r="C482" s="176"/>
      <c r="D482" s="73"/>
      <c r="E482" s="73"/>
      <c r="F482" s="1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123"/>
      <c r="B483" s="20"/>
      <c r="C483" s="176"/>
      <c r="D483" s="73"/>
      <c r="E483" s="73"/>
      <c r="F483" s="1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123"/>
      <c r="B484" s="20"/>
      <c r="C484" s="176"/>
      <c r="D484" s="73"/>
      <c r="E484" s="73"/>
      <c r="F484" s="1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123"/>
      <c r="B485" s="20"/>
      <c r="C485" s="176"/>
      <c r="D485" s="73"/>
      <c r="E485" s="73"/>
      <c r="F485" s="1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123"/>
      <c r="B486" s="20"/>
      <c r="C486" s="176"/>
      <c r="D486" s="73"/>
      <c r="E486" s="73"/>
      <c r="F486" s="1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123"/>
      <c r="B487" s="20"/>
      <c r="C487" s="176"/>
      <c r="D487" s="73"/>
      <c r="E487" s="73"/>
      <c r="F487" s="1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123"/>
      <c r="B488" s="20"/>
      <c r="C488" s="176"/>
      <c r="D488" s="73"/>
      <c r="E488" s="73"/>
      <c r="F488" s="1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123"/>
      <c r="B489" s="20"/>
      <c r="C489" s="176"/>
      <c r="D489" s="73"/>
      <c r="E489" s="73"/>
      <c r="F489" s="1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123"/>
      <c r="B490" s="20"/>
      <c r="C490" s="176"/>
      <c r="D490" s="73"/>
      <c r="E490" s="73"/>
      <c r="F490" s="1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123"/>
      <c r="B491" s="20"/>
      <c r="C491" s="176"/>
      <c r="D491" s="73"/>
      <c r="E491" s="73"/>
      <c r="F491" s="1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123"/>
      <c r="B492" s="20"/>
      <c r="C492" s="176"/>
      <c r="D492" s="73"/>
      <c r="E492" s="73"/>
      <c r="F492" s="1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123"/>
      <c r="B493" s="20"/>
      <c r="C493" s="176"/>
      <c r="D493" s="73"/>
      <c r="E493" s="73"/>
      <c r="F493" s="1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123"/>
      <c r="B494" s="20"/>
      <c r="C494" s="176"/>
      <c r="D494" s="73"/>
      <c r="E494" s="73"/>
      <c r="F494" s="1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123"/>
      <c r="B495" s="20"/>
      <c r="C495" s="176"/>
      <c r="D495" s="73"/>
      <c r="E495" s="73"/>
      <c r="F495" s="1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123"/>
      <c r="B496" s="20"/>
      <c r="C496" s="176"/>
      <c r="D496" s="73"/>
      <c r="E496" s="73"/>
      <c r="F496" s="1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123"/>
      <c r="B497" s="20"/>
      <c r="C497" s="176"/>
      <c r="D497" s="73"/>
      <c r="E497" s="73"/>
      <c r="F497" s="1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123"/>
      <c r="B498" s="20"/>
      <c r="C498" s="176"/>
      <c r="D498" s="73"/>
      <c r="E498" s="73"/>
      <c r="F498" s="1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123"/>
      <c r="B499" s="20"/>
      <c r="C499" s="176"/>
      <c r="D499" s="73"/>
      <c r="E499" s="73"/>
      <c r="F499" s="1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123"/>
      <c r="B500" s="20"/>
      <c r="C500" s="176"/>
      <c r="D500" s="73"/>
      <c r="E500" s="73"/>
      <c r="F500" s="1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123"/>
      <c r="B501" s="20"/>
      <c r="C501" s="176"/>
      <c r="D501" s="73"/>
      <c r="E501" s="73"/>
      <c r="F501" s="1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123"/>
      <c r="B502" s="20"/>
      <c r="C502" s="176"/>
      <c r="D502" s="73"/>
      <c r="E502" s="73"/>
      <c r="F502" s="1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123"/>
      <c r="B503" s="20"/>
      <c r="C503" s="176"/>
      <c r="D503" s="73"/>
      <c r="E503" s="73"/>
      <c r="F503" s="1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123"/>
      <c r="B504" s="20"/>
      <c r="C504" s="176"/>
      <c r="D504" s="73"/>
      <c r="E504" s="73"/>
      <c r="F504" s="1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123"/>
      <c r="B505" s="20"/>
      <c r="C505" s="176"/>
      <c r="D505" s="73"/>
      <c r="E505" s="73"/>
      <c r="F505" s="1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123"/>
      <c r="B506" s="20"/>
      <c r="C506" s="176"/>
      <c r="D506" s="73"/>
      <c r="E506" s="73"/>
      <c r="F506" s="1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123"/>
      <c r="B507" s="20"/>
      <c r="C507" s="176"/>
      <c r="D507" s="73"/>
      <c r="E507" s="73"/>
      <c r="F507" s="1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123"/>
      <c r="B508" s="20"/>
      <c r="C508" s="176"/>
      <c r="D508" s="73"/>
      <c r="E508" s="73"/>
      <c r="F508" s="1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123"/>
      <c r="B509" s="20"/>
      <c r="C509" s="176"/>
      <c r="D509" s="73"/>
      <c r="E509" s="73"/>
      <c r="F509" s="1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123"/>
      <c r="B510" s="20"/>
      <c r="C510" s="176"/>
      <c r="D510" s="73"/>
      <c r="E510" s="73"/>
      <c r="F510" s="1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123"/>
      <c r="B511" s="20"/>
      <c r="C511" s="176"/>
      <c r="D511" s="73"/>
      <c r="E511" s="73"/>
      <c r="F511" s="1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123"/>
      <c r="B512" s="20"/>
      <c r="C512" s="176"/>
      <c r="D512" s="73"/>
      <c r="E512" s="73"/>
      <c r="F512" s="1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123"/>
      <c r="B513" s="20"/>
      <c r="C513" s="176"/>
      <c r="D513" s="73"/>
      <c r="E513" s="73"/>
      <c r="F513" s="1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123"/>
      <c r="B514" s="20"/>
      <c r="C514" s="176"/>
      <c r="D514" s="73"/>
      <c r="E514" s="73"/>
      <c r="F514" s="1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123"/>
      <c r="B515" s="20"/>
      <c r="C515" s="176"/>
      <c r="D515" s="73"/>
      <c r="E515" s="73"/>
      <c r="F515" s="1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123"/>
      <c r="B516" s="20"/>
      <c r="C516" s="176"/>
      <c r="D516" s="73"/>
      <c r="E516" s="73"/>
      <c r="F516" s="1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123"/>
      <c r="B517" s="20"/>
      <c r="C517" s="176"/>
      <c r="D517" s="73"/>
      <c r="E517" s="73"/>
      <c r="F517" s="1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123"/>
      <c r="B518" s="20"/>
      <c r="C518" s="176"/>
      <c r="D518" s="73"/>
      <c r="E518" s="73"/>
      <c r="F518" s="1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123"/>
      <c r="B519" s="20"/>
      <c r="C519" s="176"/>
      <c r="D519" s="73"/>
      <c r="E519" s="73"/>
      <c r="F519" s="1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123"/>
      <c r="B520" s="20"/>
      <c r="C520" s="176"/>
      <c r="D520" s="73"/>
      <c r="E520" s="73"/>
      <c r="F520" s="1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123"/>
      <c r="B521" s="20"/>
      <c r="C521" s="176"/>
      <c r="D521" s="73"/>
      <c r="E521" s="73"/>
      <c r="F521" s="1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123"/>
      <c r="B522" s="20"/>
      <c r="C522" s="176"/>
      <c r="D522" s="73"/>
      <c r="E522" s="73"/>
      <c r="F522" s="1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123"/>
      <c r="B523" s="20"/>
      <c r="C523" s="176"/>
      <c r="D523" s="73"/>
      <c r="E523" s="73"/>
      <c r="F523" s="1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123"/>
      <c r="B524" s="20"/>
      <c r="C524" s="176"/>
      <c r="D524" s="73"/>
      <c r="E524" s="73"/>
      <c r="F524" s="1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123"/>
      <c r="B525" s="20"/>
      <c r="C525" s="176"/>
      <c r="D525" s="73"/>
      <c r="E525" s="73"/>
      <c r="F525" s="1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123"/>
      <c r="B526" s="20"/>
      <c r="C526" s="176"/>
      <c r="D526" s="73"/>
      <c r="E526" s="73"/>
      <c r="F526" s="1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123"/>
      <c r="B527" s="20"/>
      <c r="C527" s="176"/>
      <c r="D527" s="73"/>
      <c r="E527" s="73"/>
      <c r="F527" s="1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123"/>
      <c r="B528" s="20"/>
      <c r="C528" s="176"/>
      <c r="D528" s="73"/>
      <c r="E528" s="73"/>
      <c r="F528" s="1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123"/>
      <c r="B529" s="20"/>
      <c r="C529" s="176"/>
      <c r="D529" s="73"/>
      <c r="E529" s="73"/>
      <c r="F529" s="1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123"/>
      <c r="B530" s="20"/>
      <c r="C530" s="176"/>
      <c r="D530" s="73"/>
      <c r="E530" s="73"/>
      <c r="F530" s="1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123"/>
      <c r="B531" s="20"/>
      <c r="C531" s="176"/>
      <c r="D531" s="73"/>
      <c r="E531" s="73"/>
      <c r="F531" s="1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123"/>
      <c r="B532" s="20"/>
      <c r="C532" s="176"/>
      <c r="D532" s="73"/>
      <c r="E532" s="73"/>
      <c r="F532" s="1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123"/>
      <c r="B533" s="20"/>
      <c r="C533" s="176"/>
      <c r="D533" s="73"/>
      <c r="E533" s="73"/>
      <c r="F533" s="1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123"/>
      <c r="B534" s="20"/>
      <c r="C534" s="176"/>
      <c r="D534" s="73"/>
      <c r="E534" s="73"/>
      <c r="F534" s="1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123"/>
      <c r="B535" s="20"/>
      <c r="C535" s="176"/>
      <c r="D535" s="73"/>
      <c r="E535" s="73"/>
      <c r="F535" s="1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123"/>
      <c r="B536" s="20"/>
      <c r="C536" s="176"/>
      <c r="D536" s="73"/>
      <c r="E536" s="73"/>
      <c r="F536" s="1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123"/>
      <c r="B537" s="20"/>
      <c r="C537" s="176"/>
      <c r="D537" s="73"/>
      <c r="E537" s="73"/>
      <c r="F537" s="1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123"/>
      <c r="B538" s="20"/>
      <c r="C538" s="176"/>
      <c r="D538" s="73"/>
      <c r="E538" s="73"/>
      <c r="F538" s="1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123"/>
      <c r="B539" s="20"/>
      <c r="C539" s="176"/>
      <c r="D539" s="73"/>
      <c r="E539" s="73"/>
      <c r="F539" s="1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123"/>
      <c r="B540" s="20"/>
      <c r="C540" s="176"/>
      <c r="D540" s="73"/>
      <c r="E540" s="73"/>
      <c r="F540" s="1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123"/>
      <c r="B541" s="20"/>
      <c r="C541" s="176"/>
      <c r="D541" s="73"/>
      <c r="E541" s="73"/>
      <c r="F541" s="1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123"/>
      <c r="B542" s="20"/>
      <c r="C542" s="176"/>
      <c r="D542" s="73"/>
      <c r="E542" s="73"/>
      <c r="F542" s="1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123"/>
      <c r="B543" s="20"/>
      <c r="C543" s="176"/>
      <c r="D543" s="73"/>
      <c r="E543" s="73"/>
      <c r="F543" s="1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123"/>
      <c r="B544" s="20"/>
      <c r="C544" s="176"/>
      <c r="D544" s="73"/>
      <c r="E544" s="73"/>
      <c r="F544" s="1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123"/>
      <c r="B545" s="20"/>
      <c r="C545" s="176"/>
      <c r="D545" s="73"/>
      <c r="E545" s="73"/>
      <c r="F545" s="1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123"/>
      <c r="B546" s="20"/>
      <c r="C546" s="176"/>
      <c r="D546" s="73"/>
      <c r="E546" s="73"/>
      <c r="F546" s="1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123"/>
      <c r="B547" s="20"/>
      <c r="C547" s="176"/>
      <c r="D547" s="73"/>
      <c r="E547" s="73"/>
      <c r="F547" s="1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123"/>
      <c r="B548" s="20"/>
      <c r="C548" s="176"/>
      <c r="D548" s="73"/>
      <c r="E548" s="73"/>
      <c r="F548" s="1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123"/>
      <c r="B549" s="20"/>
      <c r="C549" s="176"/>
      <c r="D549" s="73"/>
      <c r="E549" s="73"/>
      <c r="F549" s="1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123"/>
      <c r="B550" s="20"/>
      <c r="C550" s="176"/>
      <c r="D550" s="73"/>
      <c r="E550" s="73"/>
      <c r="F550" s="1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123"/>
      <c r="B551" s="20"/>
      <c r="C551" s="176"/>
      <c r="D551" s="73"/>
      <c r="E551" s="73"/>
      <c r="F551" s="1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123"/>
      <c r="B552" s="20"/>
      <c r="C552" s="176"/>
      <c r="D552" s="73"/>
      <c r="E552" s="73"/>
      <c r="F552" s="1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123"/>
      <c r="B553" s="20"/>
      <c r="C553" s="176"/>
      <c r="D553" s="73"/>
      <c r="E553" s="73"/>
      <c r="F553" s="1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123"/>
      <c r="B554" s="20"/>
      <c r="C554" s="176"/>
      <c r="D554" s="73"/>
      <c r="E554" s="73"/>
      <c r="F554" s="1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123"/>
      <c r="B555" s="20"/>
      <c r="C555" s="176"/>
      <c r="D555" s="73"/>
      <c r="E555" s="73"/>
      <c r="F555" s="1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123"/>
      <c r="B556" s="20"/>
      <c r="C556" s="176"/>
      <c r="D556" s="73"/>
      <c r="E556" s="73"/>
      <c r="F556" s="1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123"/>
      <c r="B557" s="20"/>
      <c r="C557" s="176"/>
      <c r="D557" s="73"/>
      <c r="E557" s="73"/>
      <c r="F557" s="1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123"/>
      <c r="B558" s="20"/>
      <c r="C558" s="176"/>
      <c r="D558" s="73"/>
      <c r="E558" s="73"/>
      <c r="F558" s="1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123"/>
      <c r="B559" s="20"/>
      <c r="C559" s="176"/>
      <c r="D559" s="73"/>
      <c r="E559" s="73"/>
      <c r="F559" s="1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123"/>
      <c r="B560" s="20"/>
      <c r="C560" s="176"/>
      <c r="D560" s="73"/>
      <c r="E560" s="73"/>
      <c r="F560" s="1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123"/>
      <c r="B561" s="20"/>
      <c r="C561" s="176"/>
      <c r="D561" s="73"/>
      <c r="E561" s="73"/>
      <c r="F561" s="1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123"/>
      <c r="B562" s="20"/>
      <c r="C562" s="176"/>
      <c r="D562" s="73"/>
      <c r="E562" s="73"/>
      <c r="F562" s="1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123"/>
      <c r="B563" s="20"/>
      <c r="C563" s="176"/>
      <c r="D563" s="73"/>
      <c r="E563" s="73"/>
      <c r="F563" s="1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123"/>
      <c r="B564" s="20"/>
      <c r="C564" s="176"/>
      <c r="D564" s="73"/>
      <c r="E564" s="73"/>
      <c r="F564" s="1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123"/>
      <c r="B565" s="20"/>
      <c r="C565" s="176"/>
      <c r="D565" s="73"/>
      <c r="E565" s="73"/>
      <c r="F565" s="1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123"/>
      <c r="B566" s="20"/>
      <c r="C566" s="176"/>
      <c r="D566" s="73"/>
      <c r="E566" s="73"/>
      <c r="F566" s="1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123"/>
      <c r="B567" s="20"/>
      <c r="C567" s="176"/>
      <c r="D567" s="73"/>
      <c r="E567" s="73"/>
      <c r="F567" s="1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123"/>
      <c r="B568" s="20"/>
      <c r="C568" s="176"/>
      <c r="D568" s="73"/>
      <c r="E568" s="73"/>
      <c r="F568" s="1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123"/>
      <c r="B569" s="20"/>
      <c r="C569" s="176"/>
      <c r="D569" s="73"/>
      <c r="E569" s="73"/>
      <c r="F569" s="1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123"/>
      <c r="B570" s="20"/>
      <c r="C570" s="176"/>
      <c r="D570" s="73"/>
      <c r="E570" s="73"/>
      <c r="F570" s="1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123"/>
      <c r="B571" s="20"/>
      <c r="C571" s="176"/>
      <c r="D571" s="73"/>
      <c r="E571" s="73"/>
      <c r="F571" s="1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123"/>
      <c r="B572" s="20"/>
      <c r="C572" s="176"/>
      <c r="D572" s="73"/>
      <c r="E572" s="73"/>
      <c r="F572" s="1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123"/>
      <c r="B573" s="20"/>
      <c r="C573" s="176"/>
      <c r="D573" s="73"/>
      <c r="E573" s="73"/>
      <c r="F573" s="1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123"/>
      <c r="B574" s="20"/>
      <c r="C574" s="176"/>
      <c r="D574" s="73"/>
      <c r="E574" s="73"/>
      <c r="F574" s="1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123"/>
      <c r="B575" s="20"/>
      <c r="C575" s="176"/>
      <c r="D575" s="73"/>
      <c r="E575" s="73"/>
      <c r="F575" s="1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123"/>
      <c r="B576" s="20"/>
      <c r="C576" s="176"/>
      <c r="D576" s="73"/>
      <c r="E576" s="73"/>
      <c r="F576" s="1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123"/>
      <c r="B577" s="20"/>
      <c r="C577" s="176"/>
      <c r="D577" s="73"/>
      <c r="E577" s="73"/>
      <c r="F577" s="1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123"/>
      <c r="B578" s="20"/>
      <c r="C578" s="176"/>
      <c r="D578" s="73"/>
      <c r="E578" s="73"/>
      <c r="F578" s="1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123"/>
      <c r="B579" s="20"/>
      <c r="C579" s="176"/>
      <c r="D579" s="73"/>
      <c r="E579" s="73"/>
      <c r="F579" s="1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123"/>
      <c r="B580" s="20"/>
      <c r="C580" s="176"/>
      <c r="D580" s="73"/>
      <c r="E580" s="73"/>
      <c r="F580" s="1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123"/>
      <c r="B581" s="20"/>
      <c r="C581" s="176"/>
      <c r="D581" s="73"/>
      <c r="E581" s="73"/>
      <c r="F581" s="1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123"/>
      <c r="B582" s="20"/>
      <c r="C582" s="176"/>
      <c r="D582" s="73"/>
      <c r="E582" s="73"/>
      <c r="F582" s="1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123"/>
      <c r="B583" s="20"/>
      <c r="C583" s="176"/>
      <c r="D583" s="73"/>
      <c r="E583" s="73"/>
      <c r="F583" s="1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123"/>
      <c r="B584" s="20"/>
      <c r="C584" s="176"/>
      <c r="D584" s="73"/>
      <c r="E584" s="73"/>
      <c r="F584" s="1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123"/>
      <c r="B585" s="20"/>
      <c r="C585" s="176"/>
      <c r="D585" s="73"/>
      <c r="E585" s="73"/>
      <c r="F585" s="1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123"/>
      <c r="B586" s="20"/>
      <c r="C586" s="176"/>
      <c r="D586" s="73"/>
      <c r="E586" s="73"/>
      <c r="F586" s="1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123"/>
      <c r="B587" s="20"/>
      <c r="C587" s="176"/>
      <c r="D587" s="73"/>
      <c r="E587" s="73"/>
      <c r="F587" s="1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123"/>
      <c r="B588" s="20"/>
      <c r="C588" s="176"/>
      <c r="D588" s="73"/>
      <c r="E588" s="73"/>
      <c r="F588" s="1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123"/>
      <c r="B589" s="20"/>
      <c r="C589" s="176"/>
      <c r="D589" s="73"/>
      <c r="E589" s="73"/>
      <c r="F589" s="1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123"/>
      <c r="B590" s="20"/>
      <c r="C590" s="176"/>
      <c r="D590" s="73"/>
      <c r="E590" s="73"/>
      <c r="F590" s="1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123"/>
      <c r="B591" s="20"/>
      <c r="C591" s="176"/>
      <c r="D591" s="73"/>
      <c r="E591" s="73"/>
      <c r="F591" s="1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123"/>
      <c r="B592" s="20"/>
      <c r="C592" s="176"/>
      <c r="D592" s="73"/>
      <c r="E592" s="73"/>
      <c r="F592" s="1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123"/>
      <c r="B593" s="20"/>
      <c r="C593" s="176"/>
      <c r="D593" s="73"/>
      <c r="E593" s="73"/>
      <c r="F593" s="1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123"/>
      <c r="B594" s="20"/>
      <c r="C594" s="176"/>
      <c r="D594" s="73"/>
      <c r="E594" s="73"/>
      <c r="F594" s="1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123"/>
      <c r="B595" s="20"/>
      <c r="C595" s="176"/>
      <c r="D595" s="73"/>
      <c r="E595" s="73"/>
      <c r="F595" s="1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123"/>
      <c r="B596" s="20"/>
      <c r="C596" s="176"/>
      <c r="D596" s="73"/>
      <c r="E596" s="73"/>
      <c r="F596" s="1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123"/>
      <c r="B597" s="20"/>
      <c r="C597" s="176"/>
      <c r="D597" s="73"/>
      <c r="E597" s="73"/>
      <c r="F597" s="1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123"/>
      <c r="B598" s="20"/>
      <c r="C598" s="176"/>
      <c r="D598" s="73"/>
      <c r="E598" s="73"/>
      <c r="F598" s="1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123"/>
      <c r="B599" s="20"/>
      <c r="C599" s="176"/>
      <c r="D599" s="73"/>
      <c r="E599" s="73"/>
      <c r="F599" s="1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123"/>
      <c r="B600" s="20"/>
      <c r="C600" s="176"/>
      <c r="D600" s="73"/>
      <c r="E600" s="73"/>
      <c r="F600" s="1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123"/>
      <c r="B601" s="20"/>
      <c r="C601" s="176"/>
      <c r="D601" s="73"/>
      <c r="E601" s="73"/>
      <c r="F601" s="1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123"/>
      <c r="B602" s="20"/>
      <c r="C602" s="176"/>
      <c r="D602" s="73"/>
      <c r="E602" s="73"/>
      <c r="F602" s="1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123"/>
      <c r="B603" s="20"/>
      <c r="C603" s="176"/>
      <c r="D603" s="73"/>
      <c r="E603" s="73"/>
      <c r="F603" s="1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123"/>
      <c r="B604" s="20"/>
      <c r="C604" s="176"/>
      <c r="D604" s="73"/>
      <c r="E604" s="73"/>
      <c r="F604" s="1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123"/>
      <c r="B605" s="20"/>
      <c r="C605" s="176"/>
      <c r="D605" s="73"/>
      <c r="E605" s="73"/>
      <c r="F605" s="1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123"/>
      <c r="B606" s="20"/>
      <c r="C606" s="176"/>
      <c r="D606" s="73"/>
      <c r="E606" s="73"/>
      <c r="F606" s="1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123"/>
      <c r="B607" s="20"/>
      <c r="C607" s="176"/>
      <c r="D607" s="73"/>
      <c r="E607" s="73"/>
      <c r="F607" s="1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123"/>
      <c r="B608" s="20"/>
      <c r="C608" s="176"/>
      <c r="D608" s="73"/>
      <c r="E608" s="73"/>
      <c r="F608" s="1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123"/>
      <c r="B609" s="20"/>
      <c r="C609" s="176"/>
      <c r="D609" s="73"/>
      <c r="E609" s="73"/>
      <c r="F609" s="1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123"/>
      <c r="B610" s="20"/>
      <c r="C610" s="176"/>
      <c r="D610" s="73"/>
      <c r="E610" s="73"/>
      <c r="F610" s="1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123"/>
      <c r="B611" s="20"/>
      <c r="C611" s="176"/>
      <c r="D611" s="73"/>
      <c r="E611" s="73"/>
      <c r="F611" s="1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123"/>
      <c r="B612" s="20"/>
      <c r="C612" s="176"/>
      <c r="D612" s="73"/>
      <c r="E612" s="73"/>
      <c r="F612" s="1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123"/>
      <c r="B613" s="20"/>
      <c r="C613" s="176"/>
      <c r="D613" s="73"/>
      <c r="E613" s="73"/>
      <c r="F613" s="1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123"/>
      <c r="B614" s="20"/>
      <c r="C614" s="176"/>
      <c r="D614" s="73"/>
      <c r="E614" s="73"/>
      <c r="F614" s="1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123"/>
      <c r="B615" s="20"/>
      <c r="C615" s="176"/>
      <c r="D615" s="73"/>
      <c r="E615" s="73"/>
      <c r="F615" s="1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123"/>
      <c r="B616" s="20"/>
      <c r="C616" s="176"/>
      <c r="D616" s="73"/>
      <c r="E616" s="73"/>
      <c r="F616" s="1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123"/>
      <c r="B617" s="20"/>
      <c r="C617" s="176"/>
      <c r="D617" s="73"/>
      <c r="E617" s="73"/>
      <c r="F617" s="1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123"/>
      <c r="B618" s="20"/>
      <c r="C618" s="176"/>
      <c r="D618" s="73"/>
      <c r="E618" s="73"/>
      <c r="F618" s="1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123"/>
      <c r="B619" s="20"/>
      <c r="C619" s="176"/>
      <c r="D619" s="73"/>
      <c r="E619" s="73"/>
      <c r="F619" s="1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123"/>
      <c r="B620" s="20"/>
      <c r="C620" s="176"/>
      <c r="D620" s="73"/>
      <c r="E620" s="73"/>
      <c r="F620" s="1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123"/>
      <c r="B621" s="20"/>
      <c r="C621" s="176"/>
      <c r="D621" s="73"/>
      <c r="E621" s="73"/>
      <c r="F621" s="1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123"/>
      <c r="B622" s="20"/>
      <c r="C622" s="176"/>
      <c r="D622" s="73"/>
      <c r="E622" s="73"/>
      <c r="F622" s="1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123"/>
      <c r="B623" s="20"/>
      <c r="C623" s="176"/>
      <c r="D623" s="73"/>
      <c r="E623" s="73"/>
      <c r="F623" s="1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123"/>
      <c r="B624" s="20"/>
      <c r="C624" s="176"/>
      <c r="D624" s="73"/>
      <c r="E624" s="73"/>
      <c r="F624" s="1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123"/>
      <c r="B625" s="20"/>
      <c r="C625" s="176"/>
      <c r="D625" s="73"/>
      <c r="E625" s="73"/>
      <c r="F625" s="1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123"/>
      <c r="B626" s="20"/>
      <c r="C626" s="176"/>
      <c r="D626" s="73"/>
      <c r="E626" s="73"/>
      <c r="F626" s="1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123"/>
      <c r="B627" s="20"/>
      <c r="C627" s="176"/>
      <c r="D627" s="73"/>
      <c r="E627" s="73"/>
      <c r="F627" s="1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123"/>
      <c r="B628" s="20"/>
      <c r="C628" s="176"/>
      <c r="D628" s="73"/>
      <c r="E628" s="73"/>
      <c r="F628" s="1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123"/>
      <c r="B629" s="20"/>
      <c r="C629" s="176"/>
      <c r="D629" s="73"/>
      <c r="E629" s="73"/>
      <c r="F629" s="1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123"/>
      <c r="B630" s="20"/>
      <c r="C630" s="176"/>
      <c r="D630" s="73"/>
      <c r="E630" s="73"/>
      <c r="F630" s="1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123"/>
      <c r="B631" s="20"/>
      <c r="C631" s="176"/>
      <c r="D631" s="73"/>
      <c r="E631" s="73"/>
      <c r="F631" s="1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123"/>
      <c r="B632" s="20"/>
      <c r="C632" s="176"/>
      <c r="D632" s="73"/>
      <c r="E632" s="73"/>
      <c r="F632" s="1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123"/>
      <c r="B633" s="20"/>
      <c r="C633" s="176"/>
      <c r="D633" s="73"/>
      <c r="E633" s="73"/>
      <c r="F633" s="1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123"/>
      <c r="B634" s="20"/>
      <c r="C634" s="176"/>
      <c r="D634" s="73"/>
      <c r="E634" s="73"/>
      <c r="F634" s="1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123"/>
      <c r="B635" s="20"/>
      <c r="C635" s="176"/>
      <c r="D635" s="73"/>
      <c r="E635" s="73"/>
      <c r="F635" s="1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123"/>
      <c r="B636" s="20"/>
      <c r="C636" s="176"/>
      <c r="D636" s="73"/>
      <c r="E636" s="73"/>
      <c r="F636" s="1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123"/>
      <c r="B637" s="20"/>
      <c r="C637" s="176"/>
      <c r="D637" s="73"/>
      <c r="E637" s="73"/>
      <c r="F637" s="1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123"/>
      <c r="B638" s="20"/>
      <c r="C638" s="176"/>
      <c r="D638" s="73"/>
      <c r="E638" s="73"/>
      <c r="F638" s="1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123"/>
      <c r="B639" s="20"/>
      <c r="C639" s="176"/>
      <c r="D639" s="73"/>
      <c r="E639" s="73"/>
      <c r="F639" s="1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123"/>
      <c r="B640" s="20"/>
      <c r="C640" s="176"/>
      <c r="D640" s="73"/>
      <c r="E640" s="73"/>
      <c r="F640" s="1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123"/>
      <c r="B641" s="20"/>
      <c r="C641" s="176"/>
      <c r="D641" s="73"/>
      <c r="E641" s="73"/>
      <c r="F641" s="1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123"/>
      <c r="B642" s="20"/>
      <c r="C642" s="176"/>
      <c r="D642" s="73"/>
      <c r="E642" s="73"/>
      <c r="F642" s="1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123"/>
      <c r="B643" s="20"/>
      <c r="C643" s="176"/>
      <c r="D643" s="73"/>
      <c r="E643" s="73"/>
      <c r="F643" s="1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123"/>
      <c r="B644" s="20"/>
      <c r="C644" s="176"/>
      <c r="D644" s="73"/>
      <c r="E644" s="73"/>
      <c r="F644" s="1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123"/>
      <c r="B645" s="20"/>
      <c r="C645" s="176"/>
      <c r="D645" s="73"/>
      <c r="E645" s="73"/>
      <c r="F645" s="1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123"/>
      <c r="B646" s="20"/>
      <c r="C646" s="176"/>
      <c r="D646" s="73"/>
      <c r="E646" s="73"/>
      <c r="F646" s="1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123"/>
      <c r="B647" s="20"/>
      <c r="C647" s="176"/>
      <c r="D647" s="73"/>
      <c r="E647" s="73"/>
      <c r="F647" s="1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123"/>
      <c r="B648" s="20"/>
      <c r="C648" s="176"/>
      <c r="D648" s="73"/>
      <c r="E648" s="73"/>
      <c r="F648" s="1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123"/>
      <c r="B649" s="20"/>
      <c r="C649" s="176"/>
      <c r="D649" s="73"/>
      <c r="E649" s="73"/>
      <c r="F649" s="1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123"/>
      <c r="B650" s="20"/>
      <c r="C650" s="176"/>
      <c r="D650" s="73"/>
      <c r="E650" s="73"/>
      <c r="F650" s="1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123"/>
      <c r="B651" s="20"/>
      <c r="C651" s="176"/>
      <c r="D651" s="73"/>
      <c r="E651" s="73"/>
      <c r="F651" s="1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123"/>
      <c r="B652" s="20"/>
      <c r="C652" s="176"/>
      <c r="D652" s="73"/>
      <c r="E652" s="73"/>
      <c r="F652" s="1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123"/>
      <c r="B653" s="20"/>
      <c r="C653" s="176"/>
      <c r="D653" s="73"/>
      <c r="E653" s="73"/>
      <c r="F653" s="1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123"/>
      <c r="B654" s="20"/>
      <c r="C654" s="176"/>
      <c r="D654" s="73"/>
      <c r="E654" s="73"/>
      <c r="F654" s="1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123"/>
      <c r="B655" s="20"/>
      <c r="C655" s="176"/>
      <c r="D655" s="73"/>
      <c r="E655" s="73"/>
      <c r="F655" s="1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123"/>
      <c r="B656" s="20"/>
      <c r="C656" s="176"/>
      <c r="D656" s="73"/>
      <c r="E656" s="73"/>
      <c r="F656" s="1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123"/>
      <c r="B657" s="20"/>
      <c r="C657" s="176"/>
      <c r="D657" s="73"/>
      <c r="E657" s="73"/>
      <c r="F657" s="1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123"/>
      <c r="B658" s="20"/>
      <c r="C658" s="176"/>
      <c r="D658" s="73"/>
      <c r="E658" s="73"/>
      <c r="F658" s="1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123"/>
      <c r="B659" s="20"/>
      <c r="C659" s="176"/>
      <c r="D659" s="73"/>
      <c r="E659" s="73"/>
      <c r="F659" s="1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123"/>
      <c r="B660" s="20"/>
      <c r="C660" s="176"/>
      <c r="D660" s="73"/>
      <c r="E660" s="73"/>
      <c r="F660" s="1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123"/>
      <c r="B661" s="20"/>
      <c r="C661" s="176"/>
      <c r="D661" s="73"/>
      <c r="E661" s="73"/>
      <c r="F661" s="1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123"/>
      <c r="B662" s="20"/>
      <c r="C662" s="176"/>
      <c r="D662" s="73"/>
      <c r="E662" s="73"/>
      <c r="F662" s="1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123"/>
      <c r="B663" s="20"/>
      <c r="C663" s="176"/>
      <c r="D663" s="73"/>
      <c r="E663" s="73"/>
      <c r="F663" s="1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123"/>
      <c r="B664" s="20"/>
      <c r="C664" s="176"/>
      <c r="D664" s="73"/>
      <c r="E664" s="73"/>
      <c r="F664" s="1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123"/>
      <c r="B665" s="20"/>
      <c r="C665" s="176"/>
      <c r="D665" s="73"/>
      <c r="E665" s="73"/>
      <c r="F665" s="1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123"/>
      <c r="B666" s="20"/>
      <c r="C666" s="176"/>
      <c r="D666" s="73"/>
      <c r="E666" s="73"/>
      <c r="F666" s="1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123"/>
      <c r="B667" s="20"/>
      <c r="C667" s="176"/>
      <c r="D667" s="73"/>
      <c r="E667" s="73"/>
      <c r="F667" s="1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123"/>
      <c r="B668" s="20"/>
      <c r="C668" s="176"/>
      <c r="D668" s="73"/>
      <c r="E668" s="73"/>
      <c r="F668" s="1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123"/>
      <c r="B669" s="20"/>
      <c r="C669" s="176"/>
      <c r="D669" s="73"/>
      <c r="E669" s="73"/>
      <c r="F669" s="1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123"/>
      <c r="B670" s="20"/>
      <c r="C670" s="176"/>
      <c r="D670" s="73"/>
      <c r="E670" s="73"/>
      <c r="F670" s="1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123"/>
      <c r="B671" s="20"/>
      <c r="C671" s="176"/>
      <c r="D671" s="73"/>
      <c r="E671" s="73"/>
      <c r="F671" s="1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123"/>
      <c r="B672" s="20"/>
      <c r="C672" s="176"/>
      <c r="D672" s="73"/>
      <c r="E672" s="73"/>
      <c r="F672" s="1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123"/>
      <c r="B673" s="20"/>
      <c r="C673" s="176"/>
      <c r="D673" s="73"/>
      <c r="E673" s="73"/>
      <c r="F673" s="1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123"/>
      <c r="B674" s="20"/>
      <c r="C674" s="176"/>
      <c r="D674" s="73"/>
      <c r="E674" s="73"/>
      <c r="F674" s="1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123"/>
      <c r="B675" s="20"/>
      <c r="C675" s="176"/>
      <c r="D675" s="73"/>
      <c r="E675" s="73"/>
      <c r="F675" s="1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123"/>
      <c r="B676" s="20"/>
      <c r="C676" s="176"/>
      <c r="D676" s="73"/>
      <c r="E676" s="73"/>
      <c r="F676" s="1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123"/>
      <c r="B677" s="20"/>
      <c r="C677" s="176"/>
      <c r="D677" s="73"/>
      <c r="E677" s="73"/>
      <c r="F677" s="1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123"/>
      <c r="B678" s="20"/>
      <c r="C678" s="176"/>
      <c r="D678" s="73"/>
      <c r="E678" s="73"/>
      <c r="F678" s="1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123"/>
      <c r="B679" s="20"/>
      <c r="C679" s="176"/>
      <c r="D679" s="73"/>
      <c r="E679" s="73"/>
      <c r="F679" s="1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123"/>
      <c r="B680" s="20"/>
      <c r="C680" s="176"/>
      <c r="D680" s="73"/>
      <c r="E680" s="73"/>
      <c r="F680" s="1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123"/>
      <c r="B681" s="20"/>
      <c r="C681" s="176"/>
      <c r="D681" s="73"/>
      <c r="E681" s="73"/>
      <c r="F681" s="1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123"/>
      <c r="B682" s="20"/>
      <c r="C682" s="176"/>
      <c r="D682" s="73"/>
      <c r="E682" s="73"/>
      <c r="F682" s="1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123"/>
      <c r="B683" s="20"/>
      <c r="C683" s="176"/>
      <c r="D683" s="73"/>
      <c r="E683" s="73"/>
      <c r="F683" s="1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123"/>
      <c r="B684" s="20"/>
      <c r="C684" s="176"/>
      <c r="D684" s="73"/>
      <c r="E684" s="73"/>
      <c r="F684" s="1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123"/>
      <c r="B685" s="20"/>
      <c r="C685" s="176"/>
      <c r="D685" s="73"/>
      <c r="E685" s="73"/>
      <c r="F685" s="1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123"/>
      <c r="B686" s="20"/>
      <c r="C686" s="176"/>
      <c r="D686" s="73"/>
      <c r="E686" s="73"/>
      <c r="F686" s="1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123"/>
      <c r="B687" s="20"/>
      <c r="C687" s="176"/>
      <c r="D687" s="73"/>
      <c r="E687" s="73"/>
      <c r="F687" s="1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123"/>
      <c r="B688" s="20"/>
      <c r="C688" s="176"/>
      <c r="D688" s="73"/>
      <c r="E688" s="73"/>
      <c r="F688" s="1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123"/>
      <c r="B689" s="20"/>
      <c r="C689" s="176"/>
      <c r="D689" s="73"/>
      <c r="E689" s="73"/>
      <c r="F689" s="1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123"/>
      <c r="B690" s="20"/>
      <c r="C690" s="176"/>
      <c r="D690" s="73"/>
      <c r="E690" s="73"/>
      <c r="F690" s="1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123"/>
      <c r="B691" s="20"/>
      <c r="C691" s="176"/>
      <c r="D691" s="73"/>
      <c r="E691" s="73"/>
      <c r="F691" s="1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123"/>
      <c r="B692" s="20"/>
      <c r="C692" s="176"/>
      <c r="D692" s="73"/>
      <c r="E692" s="73"/>
      <c r="F692" s="1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123"/>
      <c r="B693" s="20"/>
      <c r="C693" s="176"/>
      <c r="D693" s="73"/>
      <c r="E693" s="73"/>
      <c r="F693" s="1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123"/>
      <c r="B694" s="20"/>
      <c r="C694" s="176"/>
      <c r="D694" s="73"/>
      <c r="E694" s="73"/>
      <c r="F694" s="1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123"/>
      <c r="B695" s="20"/>
      <c r="C695" s="176"/>
      <c r="D695" s="73"/>
      <c r="E695" s="73"/>
      <c r="F695" s="1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123"/>
      <c r="B696" s="20"/>
      <c r="C696" s="176"/>
      <c r="D696" s="73"/>
      <c r="E696" s="73"/>
      <c r="F696" s="1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123"/>
      <c r="B697" s="20"/>
      <c r="C697" s="176"/>
      <c r="D697" s="73"/>
      <c r="E697" s="73"/>
      <c r="F697" s="1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123"/>
      <c r="B698" s="20"/>
      <c r="C698" s="176"/>
      <c r="D698" s="73"/>
      <c r="E698" s="73"/>
      <c r="F698" s="1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123"/>
      <c r="B699" s="20"/>
      <c r="C699" s="176"/>
      <c r="D699" s="73"/>
      <c r="E699" s="73"/>
      <c r="F699" s="1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123"/>
      <c r="B700" s="20"/>
      <c r="C700" s="176"/>
      <c r="D700" s="73"/>
      <c r="E700" s="73"/>
      <c r="F700" s="1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123"/>
      <c r="B701" s="20"/>
      <c r="C701" s="176"/>
      <c r="D701" s="73"/>
      <c r="E701" s="73"/>
      <c r="F701" s="1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123"/>
      <c r="B702" s="20"/>
      <c r="C702" s="176"/>
      <c r="D702" s="73"/>
      <c r="E702" s="73"/>
      <c r="F702" s="1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123"/>
      <c r="B703" s="20"/>
      <c r="C703" s="176"/>
      <c r="D703" s="73"/>
      <c r="E703" s="73"/>
      <c r="F703" s="1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123"/>
      <c r="B704" s="20"/>
      <c r="C704" s="176"/>
      <c r="D704" s="73"/>
      <c r="E704" s="73"/>
      <c r="F704" s="1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123"/>
      <c r="B705" s="20"/>
      <c r="C705" s="176"/>
      <c r="D705" s="73"/>
      <c r="E705" s="73"/>
      <c r="F705" s="1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123"/>
      <c r="B706" s="20"/>
      <c r="C706" s="176"/>
      <c r="D706" s="73"/>
      <c r="E706" s="73"/>
      <c r="F706" s="1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123"/>
      <c r="B707" s="20"/>
      <c r="C707" s="176"/>
      <c r="D707" s="73"/>
      <c r="E707" s="73"/>
      <c r="F707" s="1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123"/>
      <c r="B708" s="20"/>
      <c r="C708" s="176"/>
      <c r="D708" s="73"/>
      <c r="E708" s="73"/>
      <c r="F708" s="1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123"/>
      <c r="B709" s="20"/>
      <c r="C709" s="176"/>
      <c r="D709" s="73"/>
      <c r="E709" s="73"/>
      <c r="F709" s="1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123"/>
      <c r="B710" s="20"/>
      <c r="C710" s="176"/>
      <c r="D710" s="73"/>
      <c r="E710" s="73"/>
      <c r="F710" s="1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123"/>
      <c r="B711" s="20"/>
      <c r="C711" s="176"/>
      <c r="D711" s="73"/>
      <c r="E711" s="73"/>
      <c r="F711" s="1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123"/>
      <c r="B712" s="20"/>
      <c r="C712" s="176"/>
      <c r="D712" s="73"/>
      <c r="E712" s="73"/>
      <c r="F712" s="1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123"/>
      <c r="B713" s="20"/>
      <c r="C713" s="176"/>
      <c r="D713" s="73"/>
      <c r="E713" s="73"/>
      <c r="F713" s="1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123"/>
      <c r="B714" s="20"/>
      <c r="C714" s="176"/>
      <c r="D714" s="73"/>
      <c r="E714" s="73"/>
      <c r="F714" s="1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123"/>
      <c r="B715" s="20"/>
      <c r="C715" s="176"/>
      <c r="D715" s="73"/>
      <c r="E715" s="73"/>
      <c r="F715" s="1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123"/>
      <c r="B716" s="20"/>
      <c r="C716" s="176"/>
      <c r="D716" s="73"/>
      <c r="E716" s="73"/>
      <c r="F716" s="1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123"/>
      <c r="B717" s="20"/>
      <c r="C717" s="176"/>
      <c r="D717" s="73"/>
      <c r="E717" s="73"/>
      <c r="F717" s="1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123"/>
      <c r="B718" s="20"/>
      <c r="C718" s="176"/>
      <c r="D718" s="73"/>
      <c r="E718" s="73"/>
      <c r="F718" s="1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123"/>
      <c r="B719" s="20"/>
      <c r="C719" s="176"/>
      <c r="D719" s="73"/>
      <c r="E719" s="73"/>
      <c r="F719" s="1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123"/>
      <c r="B720" s="20"/>
      <c r="C720" s="176"/>
      <c r="D720" s="73"/>
      <c r="E720" s="73"/>
      <c r="F720" s="1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123"/>
      <c r="B721" s="20"/>
      <c r="C721" s="176"/>
      <c r="D721" s="73"/>
      <c r="E721" s="73"/>
      <c r="F721" s="1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123"/>
      <c r="B722" s="20"/>
      <c r="C722" s="176"/>
      <c r="D722" s="73"/>
      <c r="E722" s="73"/>
      <c r="F722" s="1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123"/>
      <c r="B723" s="20"/>
      <c r="C723" s="176"/>
      <c r="D723" s="73"/>
      <c r="E723" s="73"/>
      <c r="F723" s="1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123"/>
      <c r="B724" s="20"/>
      <c r="C724" s="176"/>
      <c r="D724" s="73"/>
      <c r="E724" s="73"/>
      <c r="F724" s="1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123"/>
      <c r="B725" s="20"/>
      <c r="C725" s="176"/>
      <c r="D725" s="73"/>
      <c r="E725" s="73"/>
      <c r="F725" s="1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123"/>
      <c r="B726" s="20"/>
      <c r="C726" s="176"/>
      <c r="D726" s="73"/>
      <c r="E726" s="73"/>
      <c r="F726" s="1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123"/>
      <c r="B727" s="20"/>
      <c r="C727" s="176"/>
      <c r="D727" s="73"/>
      <c r="E727" s="73"/>
      <c r="F727" s="1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123"/>
      <c r="B728" s="20"/>
      <c r="C728" s="176"/>
      <c r="D728" s="73"/>
      <c r="E728" s="73"/>
      <c r="F728" s="1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123"/>
      <c r="B729" s="20"/>
      <c r="C729" s="176"/>
      <c r="D729" s="73"/>
      <c r="E729" s="73"/>
      <c r="F729" s="1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123"/>
      <c r="B730" s="20"/>
      <c r="C730" s="176"/>
      <c r="D730" s="73"/>
      <c r="E730" s="73"/>
      <c r="F730" s="1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123"/>
      <c r="B731" s="20"/>
      <c r="C731" s="176"/>
      <c r="D731" s="73"/>
      <c r="E731" s="73"/>
      <c r="F731" s="1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123"/>
      <c r="B732" s="20"/>
      <c r="C732" s="176"/>
      <c r="D732" s="73"/>
      <c r="E732" s="73"/>
      <c r="F732" s="1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123"/>
      <c r="B733" s="20"/>
      <c r="C733" s="176"/>
      <c r="D733" s="73"/>
      <c r="E733" s="73"/>
      <c r="F733" s="1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123"/>
      <c r="B734" s="20"/>
      <c r="C734" s="176"/>
      <c r="D734" s="73"/>
      <c r="E734" s="73"/>
      <c r="F734" s="1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123"/>
      <c r="B735" s="20"/>
      <c r="C735" s="176"/>
      <c r="D735" s="73"/>
      <c r="E735" s="73"/>
      <c r="F735" s="1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123"/>
      <c r="B736" s="20"/>
      <c r="C736" s="176"/>
      <c r="D736" s="73"/>
      <c r="E736" s="73"/>
      <c r="F736" s="1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123"/>
      <c r="B737" s="20"/>
      <c r="C737" s="176"/>
      <c r="D737" s="73"/>
      <c r="E737" s="73"/>
      <c r="F737" s="1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123"/>
      <c r="B738" s="20"/>
      <c r="C738" s="176"/>
      <c r="D738" s="73"/>
      <c r="E738" s="73"/>
      <c r="F738" s="1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123"/>
      <c r="B739" s="20"/>
      <c r="C739" s="176"/>
      <c r="D739" s="73"/>
      <c r="E739" s="73"/>
      <c r="F739" s="1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123"/>
      <c r="B740" s="20"/>
      <c r="C740" s="176"/>
      <c r="D740" s="73"/>
      <c r="E740" s="73"/>
      <c r="F740" s="1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123"/>
      <c r="B741" s="20"/>
      <c r="C741" s="176"/>
      <c r="D741" s="73"/>
      <c r="E741" s="73"/>
      <c r="F741" s="1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123"/>
      <c r="B742" s="20"/>
      <c r="C742" s="176"/>
      <c r="D742" s="73"/>
      <c r="E742" s="73"/>
      <c r="F742" s="1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123"/>
      <c r="B743" s="20"/>
      <c r="C743" s="176"/>
      <c r="D743" s="73"/>
      <c r="E743" s="73"/>
      <c r="F743" s="1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123"/>
      <c r="B744" s="20"/>
      <c r="C744" s="176"/>
      <c r="D744" s="73"/>
      <c r="E744" s="73"/>
      <c r="F744" s="1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123"/>
      <c r="B745" s="20"/>
      <c r="C745" s="176"/>
      <c r="D745" s="73"/>
      <c r="E745" s="73"/>
      <c r="F745" s="1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123"/>
      <c r="B746" s="20"/>
      <c r="C746" s="176"/>
      <c r="D746" s="73"/>
      <c r="E746" s="73"/>
      <c r="F746" s="1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123"/>
      <c r="B747" s="20"/>
      <c r="C747" s="176"/>
      <c r="D747" s="73"/>
      <c r="E747" s="73"/>
      <c r="F747" s="1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123"/>
      <c r="B748" s="20"/>
      <c r="C748" s="176"/>
      <c r="D748" s="73"/>
      <c r="E748" s="73"/>
      <c r="F748" s="1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123"/>
      <c r="B749" s="20"/>
      <c r="C749" s="176"/>
      <c r="D749" s="73"/>
      <c r="E749" s="73"/>
      <c r="F749" s="1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123"/>
      <c r="B750" s="20"/>
      <c r="C750" s="176"/>
      <c r="D750" s="73"/>
      <c r="E750" s="73"/>
      <c r="F750" s="1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123"/>
      <c r="B751" s="20"/>
      <c r="C751" s="176"/>
      <c r="D751" s="73"/>
      <c r="E751" s="73"/>
      <c r="F751" s="1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123"/>
      <c r="B752" s="20"/>
      <c r="C752" s="176"/>
      <c r="D752" s="73"/>
      <c r="E752" s="73"/>
      <c r="F752" s="1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123"/>
      <c r="B753" s="20"/>
      <c r="C753" s="176"/>
      <c r="D753" s="73"/>
      <c r="E753" s="73"/>
      <c r="F753" s="1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123"/>
      <c r="B754" s="20"/>
      <c r="C754" s="176"/>
      <c r="D754" s="73"/>
      <c r="E754" s="73"/>
      <c r="F754" s="1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123"/>
      <c r="B755" s="20"/>
      <c r="C755" s="176"/>
      <c r="D755" s="73"/>
      <c r="E755" s="73"/>
      <c r="F755" s="1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123"/>
      <c r="B756" s="20"/>
      <c r="C756" s="176"/>
      <c r="D756" s="73"/>
      <c r="E756" s="73"/>
      <c r="F756" s="1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123"/>
      <c r="B757" s="20"/>
      <c r="C757" s="176"/>
      <c r="D757" s="73"/>
      <c r="E757" s="73"/>
      <c r="F757" s="1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123"/>
      <c r="B758" s="20"/>
      <c r="C758" s="176"/>
      <c r="D758" s="73"/>
      <c r="E758" s="73"/>
      <c r="F758" s="1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123"/>
      <c r="B759" s="20"/>
      <c r="C759" s="176"/>
      <c r="D759" s="73"/>
      <c r="E759" s="73"/>
      <c r="F759" s="1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123"/>
      <c r="B760" s="20"/>
      <c r="C760" s="176"/>
      <c r="D760" s="73"/>
      <c r="E760" s="73"/>
      <c r="F760" s="1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123"/>
      <c r="B761" s="20"/>
      <c r="C761" s="176"/>
      <c r="D761" s="73"/>
      <c r="E761" s="73"/>
      <c r="F761" s="1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123"/>
      <c r="B762" s="20"/>
      <c r="C762" s="176"/>
      <c r="D762" s="73"/>
      <c r="E762" s="73"/>
      <c r="F762" s="1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123"/>
      <c r="B763" s="20"/>
      <c r="C763" s="176"/>
      <c r="D763" s="73"/>
      <c r="E763" s="73"/>
      <c r="F763" s="1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123"/>
      <c r="B764" s="20"/>
      <c r="C764" s="176"/>
      <c r="D764" s="73"/>
      <c r="E764" s="73"/>
      <c r="F764" s="1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123"/>
      <c r="B765" s="20"/>
      <c r="C765" s="176"/>
      <c r="D765" s="73"/>
      <c r="E765" s="73"/>
      <c r="F765" s="1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123"/>
      <c r="B766" s="20"/>
      <c r="C766" s="176"/>
      <c r="D766" s="73"/>
      <c r="E766" s="73"/>
      <c r="F766" s="1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123"/>
      <c r="B767" s="20"/>
      <c r="C767" s="176"/>
      <c r="D767" s="73"/>
      <c r="E767" s="73"/>
      <c r="F767" s="1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123"/>
      <c r="B768" s="20"/>
      <c r="C768" s="176"/>
      <c r="D768" s="73"/>
      <c r="E768" s="73"/>
      <c r="F768" s="1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123"/>
      <c r="B769" s="20"/>
      <c r="C769" s="176"/>
      <c r="D769" s="73"/>
      <c r="E769" s="73"/>
      <c r="F769" s="1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123"/>
      <c r="B770" s="20"/>
      <c r="C770" s="176"/>
      <c r="D770" s="73"/>
      <c r="E770" s="73"/>
      <c r="F770" s="1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123"/>
      <c r="B771" s="20"/>
      <c r="C771" s="176"/>
      <c r="D771" s="73"/>
      <c r="E771" s="73"/>
      <c r="F771" s="1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123"/>
      <c r="B772" s="20"/>
      <c r="C772" s="176"/>
      <c r="D772" s="73"/>
      <c r="E772" s="73"/>
      <c r="F772" s="1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123"/>
      <c r="B773" s="20"/>
      <c r="C773" s="176"/>
      <c r="D773" s="73"/>
      <c r="E773" s="73"/>
      <c r="F773" s="1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123"/>
      <c r="B774" s="20"/>
      <c r="C774" s="176"/>
      <c r="D774" s="73"/>
      <c r="E774" s="73"/>
      <c r="F774" s="1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123"/>
      <c r="B775" s="20"/>
      <c r="C775" s="176"/>
      <c r="D775" s="73"/>
      <c r="E775" s="73"/>
      <c r="F775" s="1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123"/>
      <c r="B776" s="20"/>
      <c r="C776" s="176"/>
      <c r="D776" s="73"/>
      <c r="E776" s="73"/>
      <c r="F776" s="1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123"/>
      <c r="B777" s="20"/>
      <c r="C777" s="176"/>
      <c r="D777" s="73"/>
      <c r="E777" s="73"/>
      <c r="F777" s="1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123"/>
      <c r="B778" s="20"/>
      <c r="C778" s="176"/>
      <c r="D778" s="73"/>
      <c r="E778" s="73"/>
      <c r="F778" s="1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123"/>
      <c r="B779" s="20"/>
      <c r="C779" s="176"/>
      <c r="D779" s="73"/>
      <c r="E779" s="73"/>
      <c r="F779" s="1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123"/>
      <c r="B780" s="20"/>
      <c r="C780" s="176"/>
      <c r="D780" s="73"/>
      <c r="E780" s="73"/>
      <c r="F780" s="1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123"/>
      <c r="B781" s="20"/>
      <c r="C781" s="176"/>
      <c r="D781" s="73"/>
      <c r="E781" s="73"/>
      <c r="F781" s="1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123"/>
      <c r="B782" s="20"/>
      <c r="C782" s="176"/>
      <c r="D782" s="73"/>
      <c r="E782" s="73"/>
      <c r="F782" s="1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123"/>
      <c r="B783" s="20"/>
      <c r="C783" s="176"/>
      <c r="D783" s="73"/>
      <c r="E783" s="73"/>
      <c r="F783" s="1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123"/>
      <c r="B784" s="20"/>
      <c r="C784" s="176"/>
      <c r="D784" s="73"/>
      <c r="E784" s="73"/>
      <c r="F784" s="1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123"/>
      <c r="B785" s="20"/>
      <c r="C785" s="176"/>
      <c r="D785" s="73"/>
      <c r="E785" s="73"/>
      <c r="F785" s="1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123"/>
      <c r="B786" s="20"/>
      <c r="C786" s="176"/>
      <c r="D786" s="73"/>
      <c r="E786" s="73"/>
      <c r="F786" s="1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123"/>
      <c r="B787" s="20"/>
      <c r="C787" s="176"/>
      <c r="D787" s="73"/>
      <c r="E787" s="73"/>
      <c r="F787" s="1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123"/>
      <c r="B788" s="20"/>
      <c r="C788" s="176"/>
      <c r="D788" s="73"/>
      <c r="E788" s="73"/>
      <c r="F788" s="1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123"/>
      <c r="B789" s="20"/>
      <c r="C789" s="176"/>
      <c r="D789" s="73"/>
      <c r="E789" s="73"/>
      <c r="F789" s="1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123"/>
      <c r="B790" s="20"/>
      <c r="C790" s="176"/>
      <c r="D790" s="73"/>
      <c r="E790" s="73"/>
      <c r="F790" s="1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123"/>
      <c r="B791" s="20"/>
      <c r="C791" s="176"/>
      <c r="D791" s="73"/>
      <c r="E791" s="73"/>
      <c r="F791" s="1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123"/>
      <c r="B792" s="20"/>
      <c r="C792" s="176"/>
      <c r="D792" s="73"/>
      <c r="E792" s="73"/>
      <c r="F792" s="1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123"/>
      <c r="B793" s="20"/>
      <c r="C793" s="176"/>
      <c r="D793" s="73"/>
      <c r="E793" s="73"/>
      <c r="F793" s="1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123"/>
      <c r="B794" s="20"/>
      <c r="C794" s="176"/>
      <c r="D794" s="73"/>
      <c r="E794" s="73"/>
      <c r="F794" s="1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123"/>
      <c r="B795" s="20"/>
      <c r="C795" s="176"/>
      <c r="D795" s="73"/>
      <c r="E795" s="73"/>
      <c r="F795" s="1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123"/>
      <c r="B796" s="20"/>
      <c r="C796" s="176"/>
      <c r="D796" s="73"/>
      <c r="E796" s="73"/>
      <c r="F796" s="1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123"/>
      <c r="B797" s="20"/>
      <c r="C797" s="176"/>
      <c r="D797" s="73"/>
      <c r="E797" s="73"/>
      <c r="F797" s="1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123"/>
      <c r="B798" s="20"/>
      <c r="C798" s="176"/>
      <c r="D798" s="73"/>
      <c r="E798" s="73"/>
      <c r="F798" s="1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123"/>
      <c r="B799" s="20"/>
      <c r="C799" s="176"/>
      <c r="D799" s="73"/>
      <c r="E799" s="73"/>
      <c r="F799" s="1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123"/>
      <c r="B800" s="20"/>
      <c r="C800" s="176"/>
      <c r="D800" s="73"/>
      <c r="E800" s="73"/>
      <c r="F800" s="1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123"/>
      <c r="B801" s="20"/>
      <c r="C801" s="176"/>
      <c r="D801" s="73"/>
      <c r="E801" s="73"/>
      <c r="F801" s="1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123"/>
      <c r="B802" s="20"/>
      <c r="C802" s="176"/>
      <c r="D802" s="73"/>
      <c r="E802" s="73"/>
      <c r="F802" s="1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123"/>
      <c r="B803" s="20"/>
      <c r="C803" s="176"/>
      <c r="D803" s="73"/>
      <c r="E803" s="73"/>
      <c r="F803" s="1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123"/>
      <c r="B804" s="20"/>
      <c r="C804" s="176"/>
      <c r="D804" s="73"/>
      <c r="E804" s="73"/>
      <c r="F804" s="1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123"/>
      <c r="B805" s="20"/>
      <c r="C805" s="176"/>
      <c r="D805" s="73"/>
      <c r="E805" s="73"/>
      <c r="F805" s="1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123"/>
      <c r="B806" s="20"/>
      <c r="C806" s="176"/>
      <c r="D806" s="73"/>
      <c r="E806" s="73"/>
      <c r="F806" s="1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123"/>
      <c r="B807" s="20"/>
      <c r="C807" s="176"/>
      <c r="D807" s="73"/>
      <c r="E807" s="73"/>
      <c r="F807" s="1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123"/>
      <c r="B808" s="20"/>
      <c r="C808" s="176"/>
      <c r="D808" s="73"/>
      <c r="E808" s="73"/>
      <c r="F808" s="1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123"/>
      <c r="B809" s="20"/>
      <c r="C809" s="176"/>
      <c r="D809" s="73"/>
      <c r="E809" s="73"/>
      <c r="F809" s="1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123"/>
      <c r="B810" s="20"/>
      <c r="C810" s="176"/>
      <c r="D810" s="73"/>
      <c r="E810" s="73"/>
      <c r="F810" s="1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123"/>
      <c r="B811" s="20"/>
      <c r="C811" s="176"/>
      <c r="D811" s="73"/>
      <c r="E811" s="73"/>
      <c r="F811" s="1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123"/>
      <c r="B812" s="20"/>
      <c r="C812" s="176"/>
      <c r="D812" s="73"/>
      <c r="E812" s="73"/>
      <c r="F812" s="1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123"/>
      <c r="B813" s="20"/>
      <c r="C813" s="176"/>
      <c r="D813" s="73"/>
      <c r="E813" s="73"/>
      <c r="F813" s="1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123"/>
      <c r="B814" s="20"/>
      <c r="C814" s="176"/>
      <c r="D814" s="73"/>
      <c r="E814" s="73"/>
      <c r="F814" s="1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123"/>
      <c r="B815" s="20"/>
      <c r="C815" s="176"/>
      <c r="D815" s="73"/>
      <c r="E815" s="73"/>
      <c r="F815" s="1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123"/>
      <c r="B816" s="20"/>
      <c r="C816" s="176"/>
      <c r="D816" s="73"/>
      <c r="E816" s="73"/>
      <c r="F816" s="1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123"/>
      <c r="B817" s="20"/>
      <c r="C817" s="176"/>
      <c r="D817" s="73"/>
      <c r="E817" s="73"/>
      <c r="F817" s="1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123"/>
      <c r="B818" s="20"/>
      <c r="C818" s="176"/>
      <c r="D818" s="73"/>
      <c r="E818" s="73"/>
      <c r="F818" s="1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123"/>
      <c r="B819" s="20"/>
      <c r="C819" s="176"/>
      <c r="D819" s="73"/>
      <c r="E819" s="73"/>
      <c r="F819" s="1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123"/>
      <c r="B820" s="20"/>
      <c r="C820" s="176"/>
      <c r="D820" s="73"/>
      <c r="E820" s="73"/>
      <c r="F820" s="1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123"/>
      <c r="B821" s="20"/>
      <c r="C821" s="176"/>
      <c r="D821" s="73"/>
      <c r="E821" s="73"/>
      <c r="F821" s="1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123"/>
      <c r="B822" s="20"/>
      <c r="C822" s="176"/>
      <c r="D822" s="73"/>
      <c r="E822" s="73"/>
      <c r="F822" s="1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123"/>
      <c r="B823" s="20"/>
      <c r="C823" s="176"/>
      <c r="D823" s="73"/>
      <c r="E823" s="73"/>
      <c r="F823" s="1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123"/>
      <c r="B824" s="20"/>
      <c r="C824" s="176"/>
      <c r="D824" s="73"/>
      <c r="E824" s="73"/>
      <c r="F824" s="1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123"/>
      <c r="B825" s="20"/>
      <c r="C825" s="176"/>
      <c r="D825" s="73"/>
      <c r="E825" s="73"/>
      <c r="F825" s="1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123"/>
      <c r="B826" s="20"/>
      <c r="C826" s="176"/>
      <c r="D826" s="73"/>
      <c r="E826" s="73"/>
      <c r="F826" s="1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123"/>
      <c r="B827" s="20"/>
      <c r="C827" s="176"/>
      <c r="D827" s="73"/>
      <c r="E827" s="73"/>
      <c r="F827" s="1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123"/>
      <c r="B828" s="20"/>
      <c r="C828" s="176"/>
      <c r="D828" s="73"/>
      <c r="E828" s="73"/>
      <c r="F828" s="1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123"/>
      <c r="B829" s="20"/>
      <c r="C829" s="176"/>
      <c r="D829" s="73"/>
      <c r="E829" s="73"/>
      <c r="F829" s="1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123"/>
      <c r="B830" s="20"/>
      <c r="C830" s="176"/>
      <c r="D830" s="73"/>
      <c r="E830" s="73"/>
      <c r="F830" s="1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123"/>
      <c r="B831" s="20"/>
      <c r="C831" s="176"/>
      <c r="D831" s="73"/>
      <c r="E831" s="73"/>
      <c r="F831" s="1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123"/>
      <c r="B832" s="20"/>
      <c r="C832" s="176"/>
      <c r="D832" s="73"/>
      <c r="E832" s="73"/>
      <c r="F832" s="1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123"/>
      <c r="B833" s="20"/>
      <c r="C833" s="176"/>
      <c r="D833" s="73"/>
      <c r="E833" s="73"/>
      <c r="F833" s="1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123"/>
      <c r="B834" s="20"/>
      <c r="C834" s="176"/>
      <c r="D834" s="73"/>
      <c r="E834" s="73"/>
      <c r="F834" s="1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123"/>
      <c r="B835" s="20"/>
      <c r="C835" s="176"/>
      <c r="D835" s="73"/>
      <c r="E835" s="73"/>
      <c r="F835" s="1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123"/>
      <c r="B836" s="20"/>
      <c r="C836" s="176"/>
      <c r="D836" s="73"/>
      <c r="E836" s="73"/>
      <c r="F836" s="1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123"/>
      <c r="B837" s="20"/>
      <c r="C837" s="176"/>
      <c r="D837" s="73"/>
      <c r="E837" s="73"/>
      <c r="F837" s="1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123"/>
      <c r="B838" s="20"/>
      <c r="C838" s="176"/>
      <c r="D838" s="73"/>
      <c r="E838" s="73"/>
      <c r="F838" s="1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123"/>
      <c r="B839" s="20"/>
      <c r="C839" s="176"/>
      <c r="D839" s="73"/>
      <c r="E839" s="73"/>
      <c r="F839" s="1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123"/>
      <c r="B840" s="20"/>
      <c r="C840" s="176"/>
      <c r="D840" s="73"/>
      <c r="E840" s="73"/>
      <c r="F840" s="1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123"/>
      <c r="B841" s="20"/>
      <c r="C841" s="176"/>
      <c r="D841" s="73"/>
      <c r="E841" s="73"/>
      <c r="F841" s="1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123"/>
      <c r="B842" s="20"/>
      <c r="C842" s="176"/>
      <c r="D842" s="73"/>
      <c r="E842" s="73"/>
      <c r="F842" s="1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123"/>
      <c r="B843" s="20"/>
      <c r="C843" s="176"/>
      <c r="D843" s="73"/>
      <c r="E843" s="73"/>
      <c r="F843" s="1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123"/>
      <c r="B844" s="20"/>
      <c r="C844" s="176"/>
      <c r="D844" s="73"/>
      <c r="E844" s="73"/>
      <c r="F844" s="1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123"/>
      <c r="B845" s="20"/>
      <c r="C845" s="176"/>
      <c r="D845" s="73"/>
      <c r="E845" s="73"/>
      <c r="F845" s="1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123"/>
      <c r="B846" s="20"/>
      <c r="C846" s="176"/>
      <c r="D846" s="73"/>
      <c r="E846" s="73"/>
      <c r="F846" s="1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123"/>
      <c r="B847" s="20"/>
      <c r="C847" s="176"/>
      <c r="D847" s="73"/>
      <c r="E847" s="73"/>
      <c r="F847" s="1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123"/>
      <c r="B848" s="20"/>
      <c r="C848" s="176"/>
      <c r="D848" s="73"/>
      <c r="E848" s="73"/>
      <c r="F848" s="1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123"/>
      <c r="B849" s="20"/>
      <c r="C849" s="176"/>
      <c r="D849" s="73"/>
      <c r="E849" s="73"/>
      <c r="F849" s="1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123"/>
      <c r="B850" s="20"/>
      <c r="C850" s="176"/>
      <c r="D850" s="73"/>
      <c r="E850" s="73"/>
      <c r="F850" s="1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123"/>
      <c r="B851" s="20"/>
      <c r="C851" s="176"/>
      <c r="D851" s="73"/>
      <c r="E851" s="73"/>
      <c r="F851" s="1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123"/>
      <c r="B852" s="20"/>
      <c r="C852" s="176"/>
      <c r="D852" s="73"/>
      <c r="E852" s="73"/>
      <c r="F852" s="1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123"/>
      <c r="B853" s="20"/>
      <c r="C853" s="176"/>
      <c r="D853" s="73"/>
      <c r="E853" s="73"/>
      <c r="F853" s="1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123"/>
      <c r="B854" s="20"/>
      <c r="C854" s="176"/>
      <c r="D854" s="73"/>
      <c r="E854" s="73"/>
      <c r="F854" s="1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123"/>
      <c r="B855" s="20"/>
      <c r="C855" s="176"/>
      <c r="D855" s="73"/>
      <c r="E855" s="73"/>
      <c r="F855" s="1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123"/>
      <c r="B856" s="20"/>
      <c r="C856" s="176"/>
      <c r="D856" s="73"/>
      <c r="E856" s="73"/>
      <c r="F856" s="1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123"/>
      <c r="B857" s="20"/>
      <c r="C857" s="176"/>
      <c r="D857" s="73"/>
      <c r="E857" s="73"/>
      <c r="F857" s="1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123"/>
      <c r="B858" s="20"/>
      <c r="C858" s="176"/>
      <c r="D858" s="73"/>
      <c r="E858" s="73"/>
      <c r="F858" s="1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123"/>
      <c r="B859" s="20"/>
      <c r="C859" s="176"/>
      <c r="D859" s="73"/>
      <c r="E859" s="73"/>
      <c r="F859" s="1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123"/>
      <c r="B860" s="20"/>
      <c r="C860" s="176"/>
      <c r="D860" s="73"/>
      <c r="E860" s="73"/>
      <c r="F860" s="1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123"/>
      <c r="B861" s="20"/>
      <c r="C861" s="176"/>
      <c r="D861" s="73"/>
      <c r="E861" s="73"/>
      <c r="F861" s="1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123"/>
      <c r="B862" s="20"/>
      <c r="C862" s="176"/>
      <c r="D862" s="73"/>
      <c r="E862" s="73"/>
      <c r="F862" s="1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123"/>
      <c r="B863" s="20"/>
      <c r="C863" s="176"/>
      <c r="D863" s="73"/>
      <c r="E863" s="73"/>
      <c r="F863" s="1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123"/>
      <c r="B864" s="20"/>
      <c r="C864" s="176"/>
      <c r="D864" s="73"/>
      <c r="E864" s="73"/>
      <c r="F864" s="1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123"/>
      <c r="B865" s="20"/>
      <c r="C865" s="176"/>
      <c r="D865" s="73"/>
      <c r="E865" s="73"/>
      <c r="F865" s="1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123"/>
      <c r="B866" s="20"/>
      <c r="C866" s="176"/>
      <c r="D866" s="73"/>
      <c r="E866" s="73"/>
      <c r="F866" s="1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123"/>
      <c r="B867" s="20"/>
      <c r="C867" s="176"/>
      <c r="D867" s="73"/>
      <c r="E867" s="73"/>
      <c r="F867" s="1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123"/>
      <c r="B868" s="20"/>
      <c r="C868" s="176"/>
      <c r="D868" s="73"/>
      <c r="E868" s="73"/>
      <c r="F868" s="1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123"/>
      <c r="B869" s="20"/>
      <c r="C869" s="176"/>
      <c r="D869" s="73"/>
      <c r="E869" s="73"/>
      <c r="F869" s="1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123"/>
      <c r="B870" s="20"/>
      <c r="C870" s="176"/>
      <c r="D870" s="73"/>
      <c r="E870" s="73"/>
      <c r="F870" s="1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123"/>
      <c r="B871" s="20"/>
      <c r="C871" s="176"/>
      <c r="D871" s="73"/>
      <c r="E871" s="73"/>
      <c r="F871" s="1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123"/>
      <c r="B872" s="20"/>
      <c r="C872" s="176"/>
      <c r="D872" s="73"/>
      <c r="E872" s="73"/>
      <c r="F872" s="1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123"/>
      <c r="B873" s="20"/>
      <c r="C873" s="176"/>
      <c r="D873" s="73"/>
      <c r="E873" s="73"/>
      <c r="F873" s="1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123"/>
      <c r="B874" s="20"/>
      <c r="C874" s="176"/>
      <c r="D874" s="73"/>
      <c r="E874" s="73"/>
      <c r="F874" s="1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123"/>
      <c r="B875" s="20"/>
      <c r="C875" s="176"/>
      <c r="D875" s="73"/>
      <c r="E875" s="73"/>
      <c r="F875" s="1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123"/>
      <c r="B876" s="20"/>
      <c r="C876" s="176"/>
      <c r="D876" s="73"/>
      <c r="E876" s="73"/>
      <c r="F876" s="1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123"/>
      <c r="B877" s="20"/>
      <c r="C877" s="176"/>
      <c r="D877" s="73"/>
      <c r="E877" s="73"/>
      <c r="F877" s="1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123"/>
      <c r="B878" s="20"/>
      <c r="C878" s="176"/>
      <c r="D878" s="73"/>
      <c r="E878" s="73"/>
      <c r="F878" s="1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123"/>
      <c r="B879" s="20"/>
      <c r="C879" s="176"/>
      <c r="D879" s="73"/>
      <c r="E879" s="73"/>
      <c r="F879" s="1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123"/>
      <c r="B880" s="20"/>
      <c r="C880" s="176"/>
      <c r="D880" s="73"/>
      <c r="E880" s="73"/>
      <c r="F880" s="1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123"/>
      <c r="B881" s="20"/>
      <c r="C881" s="176"/>
      <c r="D881" s="73"/>
      <c r="E881" s="73"/>
      <c r="F881" s="1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123"/>
      <c r="B882" s="20"/>
      <c r="C882" s="176"/>
      <c r="D882" s="73"/>
      <c r="E882" s="73"/>
      <c r="F882" s="1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123"/>
      <c r="B883" s="20"/>
      <c r="C883" s="176"/>
      <c r="D883" s="73"/>
      <c r="E883" s="73"/>
      <c r="F883" s="1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123"/>
      <c r="B884" s="20"/>
      <c r="C884" s="176"/>
      <c r="D884" s="73"/>
      <c r="E884" s="73"/>
      <c r="F884" s="1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123"/>
      <c r="B885" s="20"/>
      <c r="C885" s="176"/>
      <c r="D885" s="73"/>
      <c r="E885" s="73"/>
      <c r="F885" s="1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123"/>
      <c r="B886" s="20"/>
      <c r="C886" s="176"/>
      <c r="D886" s="73"/>
      <c r="E886" s="73"/>
      <c r="F886" s="1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123"/>
      <c r="B887" s="20"/>
      <c r="C887" s="176"/>
      <c r="D887" s="73"/>
      <c r="E887" s="73"/>
      <c r="F887" s="1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123"/>
      <c r="B888" s="20"/>
      <c r="C888" s="176"/>
      <c r="D888" s="73"/>
      <c r="E888" s="73"/>
      <c r="F888" s="1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123"/>
      <c r="B889" s="20"/>
      <c r="C889" s="176"/>
      <c r="D889" s="73"/>
      <c r="E889" s="73"/>
      <c r="F889" s="1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123"/>
      <c r="B890" s="20"/>
      <c r="C890" s="176"/>
      <c r="D890" s="73"/>
      <c r="E890" s="73"/>
      <c r="F890" s="1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123"/>
      <c r="B891" s="20"/>
      <c r="C891" s="176"/>
      <c r="D891" s="73"/>
      <c r="E891" s="73"/>
      <c r="F891" s="1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123"/>
      <c r="B892" s="20"/>
      <c r="C892" s="176"/>
      <c r="D892" s="73"/>
      <c r="E892" s="73"/>
      <c r="F892" s="1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123"/>
      <c r="B893" s="20"/>
      <c r="C893" s="176"/>
      <c r="D893" s="73"/>
      <c r="E893" s="73"/>
      <c r="F893" s="1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123"/>
      <c r="B894" s="20"/>
      <c r="C894" s="176"/>
      <c r="D894" s="73"/>
      <c r="E894" s="73"/>
      <c r="F894" s="1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123"/>
      <c r="B895" s="20"/>
      <c r="C895" s="176"/>
      <c r="D895" s="73"/>
      <c r="E895" s="73"/>
      <c r="F895" s="1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123"/>
      <c r="B896" s="20"/>
      <c r="C896" s="176"/>
      <c r="D896" s="73"/>
      <c r="E896" s="73"/>
      <c r="F896" s="1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123"/>
      <c r="B897" s="20"/>
      <c r="C897" s="176"/>
      <c r="D897" s="73"/>
      <c r="E897" s="73"/>
      <c r="F897" s="1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123"/>
      <c r="B898" s="20"/>
      <c r="C898" s="176"/>
      <c r="D898" s="73"/>
      <c r="E898" s="73"/>
      <c r="F898" s="1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123"/>
      <c r="B899" s="20"/>
      <c r="C899" s="176"/>
      <c r="D899" s="73"/>
      <c r="E899" s="73"/>
      <c r="F899" s="1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123"/>
      <c r="B900" s="20"/>
      <c r="C900" s="176"/>
      <c r="D900" s="73"/>
      <c r="E900" s="73"/>
      <c r="F900" s="1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123"/>
      <c r="B901" s="20"/>
      <c r="C901" s="176"/>
      <c r="D901" s="73"/>
      <c r="E901" s="73"/>
      <c r="F901" s="1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123"/>
      <c r="B902" s="20"/>
      <c r="C902" s="176"/>
      <c r="D902" s="73"/>
      <c r="E902" s="73"/>
      <c r="F902" s="1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123"/>
      <c r="B903" s="20"/>
      <c r="C903" s="176"/>
      <c r="D903" s="73"/>
      <c r="E903" s="73"/>
      <c r="F903" s="1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123"/>
      <c r="B904" s="20"/>
      <c r="C904" s="176"/>
      <c r="D904" s="73"/>
      <c r="E904" s="73"/>
      <c r="F904" s="1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123"/>
      <c r="B905" s="20"/>
      <c r="C905" s="176"/>
      <c r="D905" s="73"/>
      <c r="E905" s="73"/>
      <c r="F905" s="1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123"/>
      <c r="B906" s="20"/>
      <c r="C906" s="176"/>
      <c r="D906" s="73"/>
      <c r="E906" s="73"/>
      <c r="F906" s="1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123"/>
      <c r="B907" s="20"/>
      <c r="C907" s="176"/>
      <c r="D907" s="73"/>
      <c r="E907" s="73"/>
      <c r="F907" s="1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123"/>
      <c r="B908" s="20"/>
      <c r="C908" s="176"/>
      <c r="D908" s="73"/>
      <c r="E908" s="73"/>
      <c r="F908" s="1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123"/>
      <c r="B909" s="20"/>
      <c r="C909" s="176"/>
      <c r="D909" s="73"/>
      <c r="E909" s="73"/>
      <c r="F909" s="1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123"/>
      <c r="B910" s="20"/>
      <c r="C910" s="176"/>
      <c r="D910" s="73"/>
      <c r="E910" s="73"/>
      <c r="F910" s="1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123"/>
      <c r="B911" s="20"/>
      <c r="C911" s="176"/>
      <c r="D911" s="73"/>
      <c r="E911" s="73"/>
      <c r="F911" s="1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123"/>
      <c r="B912" s="20"/>
      <c r="C912" s="176"/>
      <c r="D912" s="73"/>
      <c r="E912" s="73"/>
      <c r="F912" s="1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123"/>
      <c r="B913" s="20"/>
      <c r="C913" s="176"/>
      <c r="D913" s="73"/>
      <c r="E913" s="73"/>
      <c r="F913" s="1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123"/>
      <c r="B914" s="20"/>
      <c r="C914" s="176"/>
      <c r="D914" s="73"/>
      <c r="E914" s="73"/>
      <c r="F914" s="1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123"/>
      <c r="B915" s="20"/>
      <c r="C915" s="176"/>
      <c r="D915" s="73"/>
      <c r="E915" s="73"/>
      <c r="F915" s="1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123"/>
      <c r="B916" s="20"/>
      <c r="C916" s="176"/>
      <c r="D916" s="73"/>
      <c r="E916" s="73"/>
      <c r="F916" s="1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123"/>
      <c r="B917" s="20"/>
      <c r="C917" s="176"/>
      <c r="D917" s="73"/>
      <c r="E917" s="73"/>
      <c r="F917" s="1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123"/>
      <c r="B918" s="20"/>
      <c r="C918" s="176"/>
      <c r="D918" s="73"/>
      <c r="E918" s="73"/>
      <c r="F918" s="1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123"/>
      <c r="B919" s="20"/>
      <c r="C919" s="176"/>
      <c r="D919" s="73"/>
      <c r="E919" s="73"/>
      <c r="F919" s="1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123"/>
      <c r="B920" s="20"/>
      <c r="C920" s="176"/>
      <c r="D920" s="73"/>
      <c r="E920" s="73"/>
      <c r="F920" s="1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123"/>
      <c r="B921" s="20"/>
      <c r="C921" s="176"/>
      <c r="D921" s="73"/>
      <c r="E921" s="73"/>
      <c r="F921" s="1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123"/>
      <c r="B922" s="20"/>
      <c r="C922" s="176"/>
      <c r="D922" s="73"/>
      <c r="E922" s="73"/>
      <c r="F922" s="1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123"/>
      <c r="B923" s="20"/>
      <c r="C923" s="176"/>
      <c r="D923" s="73"/>
      <c r="E923" s="73"/>
      <c r="F923" s="1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123"/>
      <c r="B924" s="20"/>
      <c r="C924" s="176"/>
      <c r="D924" s="73"/>
      <c r="E924" s="73"/>
      <c r="F924" s="1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123"/>
      <c r="B925" s="20"/>
      <c r="C925" s="176"/>
      <c r="D925" s="73"/>
      <c r="E925" s="73"/>
      <c r="F925" s="1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123"/>
      <c r="B926" s="20"/>
      <c r="C926" s="176"/>
      <c r="D926" s="73"/>
      <c r="E926" s="73"/>
      <c r="F926" s="1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123"/>
      <c r="B927" s="20"/>
      <c r="C927" s="176"/>
      <c r="D927" s="73"/>
      <c r="E927" s="73"/>
      <c r="F927" s="1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123"/>
      <c r="B928" s="20"/>
      <c r="C928" s="176"/>
      <c r="D928" s="73"/>
      <c r="E928" s="73"/>
      <c r="F928" s="1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123"/>
      <c r="B929" s="20"/>
      <c r="C929" s="176"/>
      <c r="D929" s="73"/>
      <c r="E929" s="73"/>
      <c r="F929" s="1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123"/>
      <c r="B930" s="20"/>
      <c r="C930" s="176"/>
      <c r="D930" s="73"/>
      <c r="E930" s="73"/>
      <c r="F930" s="1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123"/>
      <c r="B931" s="20"/>
      <c r="C931" s="176"/>
      <c r="D931" s="73"/>
      <c r="E931" s="73"/>
      <c r="F931" s="1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123"/>
      <c r="B932" s="20"/>
      <c r="C932" s="176"/>
      <c r="D932" s="73"/>
      <c r="E932" s="73"/>
      <c r="F932" s="1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123"/>
      <c r="B933" s="20"/>
      <c r="C933" s="176"/>
      <c r="D933" s="73"/>
      <c r="E933" s="73"/>
      <c r="F933" s="1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123"/>
      <c r="B934" s="20"/>
      <c r="C934" s="176"/>
      <c r="D934" s="73"/>
      <c r="E934" s="73"/>
      <c r="F934" s="1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123"/>
      <c r="B935" s="20"/>
      <c r="C935" s="176"/>
      <c r="D935" s="73"/>
      <c r="E935" s="73"/>
      <c r="F935" s="1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123"/>
      <c r="B936" s="20"/>
      <c r="C936" s="176"/>
      <c r="D936" s="73"/>
      <c r="E936" s="73"/>
      <c r="F936" s="1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123"/>
      <c r="B937" s="20"/>
      <c r="C937" s="176"/>
      <c r="D937" s="73"/>
      <c r="E937" s="73"/>
      <c r="F937" s="1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123"/>
      <c r="B938" s="20"/>
      <c r="C938" s="176"/>
      <c r="D938" s="73"/>
      <c r="E938" s="73"/>
      <c r="F938" s="1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123"/>
      <c r="B939" s="20"/>
      <c r="C939" s="176"/>
      <c r="D939" s="73"/>
      <c r="E939" s="73"/>
      <c r="F939" s="1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123"/>
      <c r="B940" s="20"/>
      <c r="C940" s="176"/>
      <c r="D940" s="73"/>
      <c r="E940" s="73"/>
      <c r="F940" s="1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123"/>
      <c r="B941" s="20"/>
      <c r="C941" s="176"/>
      <c r="D941" s="73"/>
      <c r="E941" s="73"/>
      <c r="F941" s="1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123"/>
      <c r="B942" s="20"/>
      <c r="C942" s="176"/>
      <c r="D942" s="73"/>
      <c r="E942" s="73"/>
      <c r="F942" s="1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123"/>
      <c r="B943" s="20"/>
      <c r="C943" s="176"/>
      <c r="D943" s="73"/>
      <c r="E943" s="73"/>
      <c r="F943" s="1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123"/>
      <c r="B944" s="20"/>
      <c r="C944" s="176"/>
      <c r="D944" s="73"/>
      <c r="E944" s="73"/>
      <c r="F944" s="1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123"/>
      <c r="B945" s="20"/>
      <c r="C945" s="176"/>
      <c r="D945" s="73"/>
      <c r="E945" s="73"/>
      <c r="F945" s="1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123"/>
      <c r="B946" s="20"/>
      <c r="C946" s="176"/>
      <c r="D946" s="73"/>
      <c r="E946" s="73"/>
      <c r="F946" s="1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123"/>
      <c r="B947" s="20"/>
      <c r="C947" s="176"/>
      <c r="D947" s="73"/>
      <c r="E947" s="73"/>
      <c r="F947" s="1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123"/>
      <c r="B948" s="20"/>
      <c r="C948" s="176"/>
      <c r="D948" s="73"/>
      <c r="E948" s="73"/>
      <c r="F948" s="1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123"/>
      <c r="B949" s="20"/>
      <c r="C949" s="176"/>
      <c r="D949" s="73"/>
      <c r="E949" s="73"/>
      <c r="F949" s="1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123"/>
      <c r="B950" s="20"/>
      <c r="C950" s="176"/>
      <c r="D950" s="73"/>
      <c r="E950" s="73"/>
      <c r="F950" s="1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123"/>
      <c r="B951" s="20"/>
      <c r="C951" s="176"/>
      <c r="D951" s="73"/>
      <c r="E951" s="73"/>
      <c r="F951" s="1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123"/>
      <c r="B952" s="20"/>
      <c r="C952" s="176"/>
      <c r="D952" s="73"/>
      <c r="E952" s="73"/>
      <c r="F952" s="1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123"/>
      <c r="B953" s="20"/>
      <c r="C953" s="176"/>
      <c r="D953" s="73"/>
      <c r="E953" s="73"/>
      <c r="F953" s="1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123"/>
      <c r="B954" s="20"/>
      <c r="C954" s="176"/>
      <c r="D954" s="73"/>
      <c r="E954" s="73"/>
      <c r="F954" s="1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123"/>
      <c r="B955" s="20"/>
      <c r="C955" s="176"/>
      <c r="D955" s="73"/>
      <c r="E955" s="73"/>
      <c r="F955" s="1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123"/>
      <c r="B956" s="20"/>
      <c r="C956" s="176"/>
      <c r="D956" s="73"/>
      <c r="E956" s="73"/>
      <c r="F956" s="1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123"/>
      <c r="B957" s="20"/>
      <c r="C957" s="176"/>
      <c r="D957" s="73"/>
      <c r="E957" s="73"/>
      <c r="F957" s="1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123"/>
      <c r="B958" s="20"/>
      <c r="C958" s="176"/>
      <c r="D958" s="73"/>
      <c r="E958" s="73"/>
      <c r="F958" s="1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123"/>
      <c r="B959" s="20"/>
      <c r="C959" s="176"/>
      <c r="D959" s="73"/>
      <c r="E959" s="73"/>
      <c r="F959" s="1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123"/>
      <c r="B960" s="20"/>
      <c r="C960" s="176"/>
      <c r="D960" s="73"/>
      <c r="E960" s="73"/>
      <c r="F960" s="1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123"/>
      <c r="B961" s="20"/>
      <c r="C961" s="176"/>
      <c r="D961" s="73"/>
      <c r="E961" s="73"/>
      <c r="F961" s="1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123"/>
      <c r="B962" s="20"/>
      <c r="C962" s="176"/>
      <c r="D962" s="73"/>
      <c r="E962" s="73"/>
      <c r="F962" s="1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123"/>
      <c r="B963" s="20"/>
      <c r="C963" s="176"/>
      <c r="D963" s="73"/>
      <c r="E963" s="73"/>
      <c r="F963" s="1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123"/>
      <c r="B964" s="20"/>
      <c r="C964" s="176"/>
      <c r="D964" s="73"/>
      <c r="E964" s="73"/>
      <c r="F964" s="1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123"/>
      <c r="B965" s="20"/>
      <c r="C965" s="176"/>
      <c r="D965" s="73"/>
      <c r="E965" s="73"/>
      <c r="F965" s="1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123"/>
      <c r="B966" s="20"/>
      <c r="C966" s="176"/>
      <c r="D966" s="73"/>
      <c r="E966" s="73"/>
      <c r="F966" s="1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123"/>
      <c r="B967" s="20"/>
      <c r="C967" s="176"/>
      <c r="D967" s="73"/>
      <c r="E967" s="73"/>
      <c r="F967" s="1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123"/>
      <c r="B968" s="20"/>
      <c r="C968" s="176"/>
      <c r="D968" s="73"/>
      <c r="E968" s="73"/>
      <c r="F968" s="1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123"/>
      <c r="B969" s="20"/>
      <c r="C969" s="176"/>
      <c r="D969" s="73"/>
      <c r="E969" s="73"/>
      <c r="F969" s="1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123"/>
      <c r="B970" s="20"/>
      <c r="C970" s="176"/>
      <c r="D970" s="73"/>
      <c r="E970" s="73"/>
      <c r="F970" s="1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123"/>
      <c r="B971" s="20"/>
      <c r="C971" s="176"/>
      <c r="D971" s="73"/>
      <c r="E971" s="73"/>
      <c r="F971" s="1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123"/>
      <c r="B972" s="20"/>
      <c r="C972" s="176"/>
      <c r="D972" s="73"/>
      <c r="E972" s="73"/>
      <c r="F972" s="1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123"/>
      <c r="B973" s="20"/>
      <c r="C973" s="176"/>
      <c r="D973" s="73"/>
      <c r="E973" s="73"/>
      <c r="F973" s="1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123"/>
      <c r="B974" s="20"/>
      <c r="C974" s="176"/>
      <c r="D974" s="73"/>
      <c r="E974" s="73"/>
      <c r="F974" s="1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123"/>
      <c r="B975" s="20"/>
      <c r="C975" s="176"/>
      <c r="D975" s="73"/>
      <c r="E975" s="73"/>
      <c r="F975" s="1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123"/>
      <c r="B976" s="20"/>
      <c r="C976" s="176"/>
      <c r="D976" s="73"/>
      <c r="E976" s="73"/>
      <c r="F976" s="1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123"/>
      <c r="B977" s="20"/>
      <c r="C977" s="176"/>
      <c r="D977" s="73"/>
      <c r="E977" s="73"/>
      <c r="F977" s="1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123"/>
      <c r="B978" s="20"/>
      <c r="C978" s="176"/>
      <c r="D978" s="73"/>
      <c r="E978" s="73"/>
      <c r="F978" s="1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123"/>
      <c r="B979" s="20"/>
      <c r="C979" s="176"/>
      <c r="D979" s="73"/>
      <c r="E979" s="73"/>
      <c r="F979" s="1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123"/>
      <c r="B980" s="20"/>
      <c r="C980" s="176"/>
      <c r="D980" s="73"/>
      <c r="E980" s="73"/>
      <c r="F980" s="1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123"/>
      <c r="B981" s="20"/>
      <c r="C981" s="176"/>
      <c r="D981" s="73"/>
      <c r="E981" s="73"/>
      <c r="F981" s="1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123"/>
      <c r="B982" s="20"/>
      <c r="C982" s="176"/>
      <c r="D982" s="73"/>
      <c r="E982" s="73"/>
      <c r="F982" s="1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123"/>
      <c r="B983" s="20"/>
      <c r="C983" s="176"/>
      <c r="D983" s="73"/>
      <c r="E983" s="73"/>
      <c r="F983" s="1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123"/>
      <c r="B984" s="20"/>
      <c r="C984" s="176"/>
      <c r="D984" s="73"/>
      <c r="E984" s="73"/>
      <c r="F984" s="1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123"/>
      <c r="B985" s="20"/>
      <c r="C985" s="176"/>
      <c r="D985" s="73"/>
      <c r="E985" s="73"/>
      <c r="F985" s="1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123"/>
      <c r="B986" s="20"/>
      <c r="C986" s="176"/>
      <c r="D986" s="73"/>
      <c r="E986" s="73"/>
      <c r="F986" s="1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123"/>
      <c r="B987" s="20"/>
      <c r="C987" s="176"/>
      <c r="D987" s="73"/>
      <c r="E987" s="73"/>
      <c r="F987" s="1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123"/>
      <c r="B988" s="20"/>
      <c r="C988" s="176"/>
      <c r="D988" s="73"/>
      <c r="E988" s="73"/>
      <c r="F988" s="1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123"/>
      <c r="B989" s="20"/>
      <c r="C989" s="176"/>
      <c r="D989" s="73"/>
      <c r="E989" s="73"/>
      <c r="F989" s="1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123"/>
      <c r="B990" s="20"/>
      <c r="C990" s="176"/>
      <c r="D990" s="73"/>
      <c r="E990" s="73"/>
      <c r="F990" s="1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123"/>
      <c r="B991" s="20"/>
      <c r="C991" s="176"/>
      <c r="D991" s="73"/>
      <c r="E991" s="73"/>
      <c r="F991" s="1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123"/>
      <c r="B992" s="20"/>
      <c r="C992" s="176"/>
      <c r="D992" s="73"/>
      <c r="E992" s="73"/>
      <c r="F992" s="1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123"/>
      <c r="B993" s="20"/>
      <c r="C993" s="176"/>
      <c r="D993" s="73"/>
      <c r="E993" s="73"/>
      <c r="F993" s="1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123"/>
      <c r="B994" s="20"/>
      <c r="C994" s="176"/>
      <c r="D994" s="73"/>
      <c r="E994" s="73"/>
      <c r="F994" s="1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123"/>
      <c r="B995" s="20"/>
      <c r="C995" s="176"/>
      <c r="D995" s="73"/>
      <c r="E995" s="73"/>
      <c r="F995" s="1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123"/>
      <c r="B996" s="20"/>
      <c r="C996" s="176"/>
      <c r="D996" s="73"/>
      <c r="E996" s="73"/>
      <c r="F996" s="1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123"/>
      <c r="B997" s="20"/>
      <c r="C997" s="176"/>
      <c r="D997" s="73"/>
      <c r="E997" s="73"/>
      <c r="F997" s="1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123"/>
      <c r="B998" s="20"/>
      <c r="C998" s="176"/>
      <c r="D998" s="73"/>
      <c r="E998" s="73"/>
      <c r="F998" s="1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123"/>
      <c r="B999" s="20"/>
      <c r="C999" s="176"/>
      <c r="D999" s="73"/>
      <c r="E999" s="73"/>
      <c r="F999" s="1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123"/>
      <c r="B1000" s="20"/>
      <c r="C1000" s="176"/>
      <c r="D1000" s="73"/>
      <c r="E1000" s="73"/>
      <c r="F1000" s="1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A6:F6"/>
  </mergeCells>
  <printOptions horizontalCentered="1"/>
  <pageMargins bottom="0.5905511811023623" footer="0.0" header="0.0" left="0.1968503937007874" right="0.1968503937007874" top="0.5905511811023623"/>
  <pageSetup paperSize="9" orientation="portrait"/>
  <headerFooter>
    <oddHeader>&amp;R&amp;F  Page &amp;P of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10.75"/>
    <col customWidth="1" min="2" max="2" width="51.63"/>
    <col customWidth="1" min="3" max="3" width="13.25"/>
    <col customWidth="1" min="4" max="4" width="12.25"/>
    <col customWidth="1" min="5" max="5" width="5.75"/>
    <col customWidth="1" min="6" max="6" width="5.38"/>
    <col customWidth="1" min="7" max="7" width="16.75"/>
    <col customWidth="1" min="8" max="26" width="9.13"/>
  </cols>
  <sheetData>
    <row r="1">
      <c r="A1" s="20"/>
      <c r="B1" s="33"/>
      <c r="C1" s="67"/>
      <c r="D1" s="167"/>
      <c r="E1" s="69" t="s">
        <v>197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33"/>
      <c r="C2" s="67"/>
      <c r="D2" s="16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33"/>
      <c r="C3" s="67"/>
      <c r="D3" s="1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33"/>
      <c r="C4" s="67"/>
      <c r="D4" s="71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33"/>
      <c r="C5" s="67"/>
      <c r="D5" s="71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5" t="s">
        <v>1635</v>
      </c>
      <c r="B6" s="216"/>
      <c r="C6" s="216"/>
      <c r="D6" s="216"/>
      <c r="E6" s="216"/>
      <c r="F6" s="216"/>
      <c r="G6" s="216"/>
      <c r="H6" s="33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74" t="s">
        <v>376</v>
      </c>
      <c r="B7" s="75"/>
      <c r="C7" s="75"/>
      <c r="D7" s="75"/>
      <c r="E7" s="75"/>
      <c r="F7" s="75"/>
      <c r="G7" s="76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29" t="s">
        <v>1571</v>
      </c>
      <c r="B8" s="133" t="s">
        <v>377</v>
      </c>
      <c r="C8" s="133" t="s">
        <v>1636</v>
      </c>
      <c r="D8" s="79" t="s">
        <v>378</v>
      </c>
      <c r="E8" s="133" t="s">
        <v>207</v>
      </c>
      <c r="F8" s="133" t="s">
        <v>381</v>
      </c>
      <c r="G8" s="134" t="s">
        <v>382</v>
      </c>
      <c r="H8" s="20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>
      <c r="A9" s="217"/>
      <c r="B9" s="137" t="s">
        <v>1637</v>
      </c>
      <c r="C9" s="218"/>
      <c r="D9" s="219"/>
      <c r="E9" s="218"/>
      <c r="F9" s="218"/>
      <c r="G9" s="220"/>
      <c r="H9" s="20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>
      <c r="A10" s="178" t="s">
        <v>1638</v>
      </c>
      <c r="B10" s="61" t="s">
        <v>1639</v>
      </c>
      <c r="C10" s="145" t="s">
        <v>1640</v>
      </c>
      <c r="D10" s="116">
        <v>3.94</v>
      </c>
      <c r="E10" s="145">
        <v>10.0</v>
      </c>
      <c r="F10" s="145">
        <v>100.0</v>
      </c>
      <c r="G10" s="221">
        <v>6.009698067252E12</v>
      </c>
      <c r="H10" s="20"/>
      <c r="I10" s="222"/>
      <c r="J10" s="222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>
      <c r="A11" s="178" t="s">
        <v>1641</v>
      </c>
      <c r="B11" s="61" t="s">
        <v>1642</v>
      </c>
      <c r="C11" s="145" t="s">
        <v>1643</v>
      </c>
      <c r="D11" s="116">
        <v>5.1899999999999995</v>
      </c>
      <c r="E11" s="145">
        <v>10.0</v>
      </c>
      <c r="F11" s="145">
        <v>100.0</v>
      </c>
      <c r="G11" s="221">
        <v>6.009698067269E12</v>
      </c>
      <c r="H11" s="20"/>
      <c r="I11" s="222"/>
      <c r="J11" s="222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>
      <c r="A12" s="223"/>
      <c r="B12" s="224"/>
      <c r="C12" s="224"/>
      <c r="D12" s="116"/>
      <c r="E12" s="224"/>
      <c r="F12" s="224"/>
      <c r="G12" s="225"/>
      <c r="H12" s="20"/>
      <c r="I12" s="222"/>
      <c r="J12" s="222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>
      <c r="A13" s="45"/>
      <c r="B13" s="101" t="s">
        <v>1644</v>
      </c>
      <c r="C13" s="226"/>
      <c r="D13" s="116"/>
      <c r="E13" s="226"/>
      <c r="F13" s="94"/>
      <c r="G13" s="227"/>
      <c r="H13" s="20"/>
      <c r="I13" s="222"/>
      <c r="J13" s="222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93" t="s">
        <v>1645</v>
      </c>
      <c r="B14" s="228" t="s">
        <v>1646</v>
      </c>
      <c r="C14" s="229" t="s">
        <v>1647</v>
      </c>
      <c r="D14" s="116">
        <v>272.7</v>
      </c>
      <c r="E14" s="229" t="s">
        <v>213</v>
      </c>
      <c r="F14" s="94">
        <v>1.0</v>
      </c>
      <c r="G14" s="230">
        <v>1.6009685852646E13</v>
      </c>
      <c r="H14" s="20"/>
      <c r="I14" s="222"/>
      <c r="J14" s="222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93" t="s">
        <v>1648</v>
      </c>
      <c r="B15" s="228" t="s">
        <v>1649</v>
      </c>
      <c r="C15" s="229" t="s">
        <v>1650</v>
      </c>
      <c r="D15" s="116">
        <v>396.24</v>
      </c>
      <c r="E15" s="229" t="s">
        <v>213</v>
      </c>
      <c r="F15" s="94">
        <v>1.0</v>
      </c>
      <c r="G15" s="230">
        <v>1.6009685852684E13</v>
      </c>
      <c r="H15" s="20"/>
      <c r="I15" s="222"/>
      <c r="J15" s="222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93" t="s">
        <v>1651</v>
      </c>
      <c r="B16" s="228" t="s">
        <v>1652</v>
      </c>
      <c r="C16" s="229" t="s">
        <v>1653</v>
      </c>
      <c r="D16" s="116">
        <v>158.23</v>
      </c>
      <c r="E16" s="229" t="s">
        <v>213</v>
      </c>
      <c r="F16" s="94">
        <v>1.0</v>
      </c>
      <c r="G16" s="230">
        <v>1.6009685852745E13</v>
      </c>
      <c r="H16" s="20"/>
      <c r="I16" s="222"/>
      <c r="J16" s="222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93" t="s">
        <v>1654</v>
      </c>
      <c r="B17" s="228" t="s">
        <v>1655</v>
      </c>
      <c r="C17" s="229" t="s">
        <v>1653</v>
      </c>
      <c r="D17" s="116">
        <v>186.38</v>
      </c>
      <c r="E17" s="229" t="s">
        <v>213</v>
      </c>
      <c r="F17" s="94">
        <v>1.0</v>
      </c>
      <c r="G17" s="230">
        <v>1.6009685852721E13</v>
      </c>
      <c r="H17" s="20"/>
      <c r="I17" s="222"/>
      <c r="J17" s="22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93" t="s">
        <v>1656</v>
      </c>
      <c r="B18" s="228" t="s">
        <v>1657</v>
      </c>
      <c r="C18" s="229" t="s">
        <v>1658</v>
      </c>
      <c r="D18" s="116">
        <v>28.87</v>
      </c>
      <c r="E18" s="229" t="s">
        <v>213</v>
      </c>
      <c r="F18" s="94">
        <v>10.0</v>
      </c>
      <c r="G18" s="230">
        <v>6.009699516896E12</v>
      </c>
      <c r="H18" s="20"/>
      <c r="I18" s="222"/>
      <c r="J18" s="222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93" t="s">
        <v>1659</v>
      </c>
      <c r="B19" s="228" t="s">
        <v>1660</v>
      </c>
      <c r="C19" s="229" t="s">
        <v>1658</v>
      </c>
      <c r="D19" s="116">
        <v>255.38</v>
      </c>
      <c r="E19" s="229" t="s">
        <v>213</v>
      </c>
      <c r="F19" s="94">
        <v>1.0</v>
      </c>
      <c r="G19" s="230">
        <v>1.6009685852981E13</v>
      </c>
      <c r="H19" s="20"/>
      <c r="I19" s="222"/>
      <c r="J19" s="222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93" t="s">
        <v>1661</v>
      </c>
      <c r="B20" s="228" t="s">
        <v>1662</v>
      </c>
      <c r="C20" s="229" t="s">
        <v>1658</v>
      </c>
      <c r="D20" s="116">
        <v>244.04</v>
      </c>
      <c r="E20" s="229" t="s">
        <v>213</v>
      </c>
      <c r="F20" s="94">
        <v>1.0</v>
      </c>
      <c r="G20" s="230">
        <v>1.6009608640374E13</v>
      </c>
      <c r="H20" s="20"/>
      <c r="I20" s="222"/>
      <c r="J20" s="222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93" t="s">
        <v>1663</v>
      </c>
      <c r="B21" s="228" t="s">
        <v>1664</v>
      </c>
      <c r="C21" s="229" t="s">
        <v>1665</v>
      </c>
      <c r="D21" s="116">
        <v>11.32</v>
      </c>
      <c r="E21" s="229" t="s">
        <v>213</v>
      </c>
      <c r="F21" s="94">
        <v>20.0</v>
      </c>
      <c r="G21" s="230">
        <v>6.00969806208E12</v>
      </c>
      <c r="H21" s="20"/>
      <c r="I21" s="222"/>
      <c r="J21" s="222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93" t="s">
        <v>1666</v>
      </c>
      <c r="B22" s="228" t="s">
        <v>1667</v>
      </c>
      <c r="C22" s="229" t="s">
        <v>1668</v>
      </c>
      <c r="D22" s="116">
        <v>12.93</v>
      </c>
      <c r="E22" s="229" t="s">
        <v>213</v>
      </c>
      <c r="F22" s="94">
        <v>20.0</v>
      </c>
      <c r="G22" s="230">
        <v>6.009698062035E12</v>
      </c>
      <c r="H22" s="20"/>
      <c r="I22" s="222"/>
      <c r="J22" s="222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93" t="s">
        <v>1669</v>
      </c>
      <c r="B23" s="228" t="s">
        <v>1670</v>
      </c>
      <c r="C23" s="229" t="s">
        <v>1653</v>
      </c>
      <c r="D23" s="116">
        <v>11.59</v>
      </c>
      <c r="E23" s="229" t="s">
        <v>213</v>
      </c>
      <c r="F23" s="94">
        <v>20.0</v>
      </c>
      <c r="G23" s="230">
        <v>6.009698067733E12</v>
      </c>
      <c r="H23" s="20"/>
      <c r="I23" s="222"/>
      <c r="J23" s="222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93" t="s">
        <v>1671</v>
      </c>
      <c r="B24" s="228" t="s">
        <v>1672</v>
      </c>
      <c r="C24" s="229" t="s">
        <v>1647</v>
      </c>
      <c r="D24" s="116">
        <v>17.380000000000003</v>
      </c>
      <c r="E24" s="229" t="s">
        <v>213</v>
      </c>
      <c r="F24" s="94">
        <v>25.0</v>
      </c>
      <c r="G24" s="230">
        <v>6.009608640032E12</v>
      </c>
      <c r="H24" s="20"/>
      <c r="I24" s="222"/>
      <c r="J24" s="222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45" t="s">
        <v>1673</v>
      </c>
      <c r="B25" s="61" t="s">
        <v>1674</v>
      </c>
      <c r="C25" s="229" t="s">
        <v>1675</v>
      </c>
      <c r="D25" s="116">
        <v>823.79</v>
      </c>
      <c r="E25" s="229" t="s">
        <v>213</v>
      </c>
      <c r="F25" s="94">
        <v>1.0</v>
      </c>
      <c r="G25" s="227">
        <v>1.6009608642675E13</v>
      </c>
      <c r="H25" s="20"/>
      <c r="I25" s="222"/>
      <c r="J25" s="222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45" t="s">
        <v>1676</v>
      </c>
      <c r="B26" s="61" t="s">
        <v>1677</v>
      </c>
      <c r="C26" s="229" t="s">
        <v>1678</v>
      </c>
      <c r="D26" s="116">
        <v>1452.12</v>
      </c>
      <c r="E26" s="229" t="s">
        <v>213</v>
      </c>
      <c r="F26" s="94">
        <v>1.0</v>
      </c>
      <c r="G26" s="227">
        <v>1.6009608642682E13</v>
      </c>
      <c r="H26" s="20"/>
      <c r="I26" s="222"/>
      <c r="J26" s="222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93"/>
      <c r="B27" s="228"/>
      <c r="C27" s="229"/>
      <c r="D27" s="116"/>
      <c r="E27" s="229"/>
      <c r="F27" s="94"/>
      <c r="G27" s="230"/>
      <c r="H27" s="20"/>
      <c r="I27" s="222"/>
      <c r="J27" s="222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93"/>
      <c r="B28" s="100" t="s">
        <v>1679</v>
      </c>
      <c r="C28" s="229"/>
      <c r="D28" s="116"/>
      <c r="E28" s="229"/>
      <c r="F28" s="94"/>
      <c r="G28" s="230"/>
      <c r="H28" s="20"/>
      <c r="I28" s="222"/>
      <c r="J28" s="222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93" t="s">
        <v>1680</v>
      </c>
      <c r="B29" s="228" t="s">
        <v>1681</v>
      </c>
      <c r="C29" s="229" t="s">
        <v>1647</v>
      </c>
      <c r="D29" s="116">
        <v>340.19</v>
      </c>
      <c r="E29" s="229" t="s">
        <v>213</v>
      </c>
      <c r="F29" s="94">
        <v>1.0</v>
      </c>
      <c r="G29" s="230">
        <v>1.6009685852653E13</v>
      </c>
      <c r="H29" s="20"/>
      <c r="I29" s="222"/>
      <c r="J29" s="222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93" t="s">
        <v>1682</v>
      </c>
      <c r="B30" s="228" t="s">
        <v>1683</v>
      </c>
      <c r="C30" s="229" t="s">
        <v>1650</v>
      </c>
      <c r="D30" s="116">
        <v>501.15</v>
      </c>
      <c r="E30" s="229" t="s">
        <v>213</v>
      </c>
      <c r="F30" s="94">
        <v>1.0</v>
      </c>
      <c r="G30" s="230">
        <v>1.6009685852691E13</v>
      </c>
      <c r="H30" s="20"/>
      <c r="I30" s="222"/>
      <c r="J30" s="222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93" t="s">
        <v>1684</v>
      </c>
      <c r="B31" s="228" t="s">
        <v>1685</v>
      </c>
      <c r="C31" s="229" t="s">
        <v>1653</v>
      </c>
      <c r="D31" s="116">
        <v>192.64</v>
      </c>
      <c r="E31" s="229" t="s">
        <v>213</v>
      </c>
      <c r="F31" s="94">
        <v>1.0</v>
      </c>
      <c r="G31" s="230">
        <v>1.6009685852752E13</v>
      </c>
      <c r="H31" s="20"/>
      <c r="I31" s="222"/>
      <c r="J31" s="222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93" t="s">
        <v>1686</v>
      </c>
      <c r="B32" s="228" t="s">
        <v>1687</v>
      </c>
      <c r="C32" s="229" t="s">
        <v>1653</v>
      </c>
      <c r="D32" s="116">
        <v>209.0</v>
      </c>
      <c r="E32" s="229" t="s">
        <v>213</v>
      </c>
      <c r="F32" s="94">
        <v>1.0</v>
      </c>
      <c r="G32" s="230">
        <v>1.6009685852738E13</v>
      </c>
      <c r="H32" s="20"/>
      <c r="I32" s="222"/>
      <c r="J32" s="222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93" t="s">
        <v>1688</v>
      </c>
      <c r="B33" s="228" t="s">
        <v>1689</v>
      </c>
      <c r="C33" s="229" t="s">
        <v>1665</v>
      </c>
      <c r="D33" s="116">
        <v>12.84</v>
      </c>
      <c r="E33" s="229" t="s">
        <v>213</v>
      </c>
      <c r="F33" s="94">
        <v>20.0</v>
      </c>
      <c r="G33" s="230">
        <v>6.009698062028E12</v>
      </c>
      <c r="H33" s="20"/>
      <c r="I33" s="222"/>
      <c r="J33" s="222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93" t="s">
        <v>1690</v>
      </c>
      <c r="B34" s="228" t="s">
        <v>1691</v>
      </c>
      <c r="C34" s="229" t="s">
        <v>1665</v>
      </c>
      <c r="D34" s="116">
        <v>14.18</v>
      </c>
      <c r="E34" s="229" t="s">
        <v>213</v>
      </c>
      <c r="F34" s="94">
        <v>20.0</v>
      </c>
      <c r="G34" s="230">
        <v>6.009699519996E12</v>
      </c>
      <c r="H34" s="20"/>
      <c r="I34" s="222"/>
      <c r="J34" s="222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93" t="s">
        <v>1692</v>
      </c>
      <c r="B35" s="64" t="s">
        <v>1693</v>
      </c>
      <c r="C35" s="229" t="s">
        <v>1668</v>
      </c>
      <c r="D35" s="116">
        <v>16.130000000000003</v>
      </c>
      <c r="E35" s="229" t="s">
        <v>213</v>
      </c>
      <c r="F35" s="94">
        <v>20.0</v>
      </c>
      <c r="G35" s="230">
        <v>6.009699519989E12</v>
      </c>
      <c r="H35" s="20"/>
      <c r="I35" s="222"/>
      <c r="J35" s="222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93" t="s">
        <v>1694</v>
      </c>
      <c r="B36" s="228" t="s">
        <v>1695</v>
      </c>
      <c r="C36" s="229" t="s">
        <v>1653</v>
      </c>
      <c r="D36" s="116">
        <v>14.47</v>
      </c>
      <c r="E36" s="229" t="s">
        <v>213</v>
      </c>
      <c r="F36" s="94">
        <v>20.0</v>
      </c>
      <c r="G36" s="230">
        <v>6.009698067771E12</v>
      </c>
      <c r="H36" s="20"/>
      <c r="I36" s="222"/>
      <c r="J36" s="222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93" t="s">
        <v>1696</v>
      </c>
      <c r="B37" s="228" t="s">
        <v>1697</v>
      </c>
      <c r="C37" s="229" t="s">
        <v>1653</v>
      </c>
      <c r="D37" s="116">
        <v>15.42</v>
      </c>
      <c r="E37" s="229" t="s">
        <v>213</v>
      </c>
      <c r="F37" s="94">
        <v>20.0</v>
      </c>
      <c r="G37" s="230">
        <v>6.009698067788E12</v>
      </c>
      <c r="H37" s="20"/>
      <c r="I37" s="222"/>
      <c r="J37" s="222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104" t="s">
        <v>1698</v>
      </c>
      <c r="B38" s="231" t="s">
        <v>1699</v>
      </c>
      <c r="C38" s="232" t="s">
        <v>1647</v>
      </c>
      <c r="D38" s="214">
        <v>20.360000000000003</v>
      </c>
      <c r="E38" s="232" t="s">
        <v>213</v>
      </c>
      <c r="F38" s="106">
        <v>25.0</v>
      </c>
      <c r="G38" s="233">
        <v>6.009608640049E12</v>
      </c>
      <c r="H38" s="20"/>
      <c r="I38" s="222"/>
      <c r="J38" s="222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33"/>
      <c r="B39" s="33"/>
      <c r="C39" s="67"/>
      <c r="D39" s="167"/>
      <c r="E39" s="67"/>
      <c r="F39" s="67"/>
      <c r="G39" s="67"/>
      <c r="H39" s="33"/>
      <c r="I39" s="222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33"/>
      <c r="B40" s="33"/>
      <c r="C40" s="67"/>
      <c r="D40" s="167"/>
      <c r="E40" s="67"/>
      <c r="F40" s="67"/>
      <c r="G40" s="67"/>
      <c r="H40" s="33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3"/>
      <c r="B41" s="33"/>
      <c r="C41" s="67"/>
      <c r="D41" s="167"/>
      <c r="E41" s="67"/>
      <c r="F41" s="67"/>
      <c r="G41" s="67"/>
      <c r="H41" s="3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33"/>
      <c r="B42" s="33"/>
      <c r="C42" s="67"/>
      <c r="D42" s="167"/>
      <c r="E42" s="67"/>
      <c r="F42" s="67"/>
      <c r="G42" s="67"/>
      <c r="H42" s="33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33"/>
      <c r="B43" s="33"/>
      <c r="C43" s="67"/>
      <c r="D43" s="167"/>
      <c r="E43" s="67"/>
      <c r="F43" s="67"/>
      <c r="G43" s="67"/>
      <c r="H43" s="3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33"/>
      <c r="B44" s="33"/>
      <c r="C44" s="67"/>
      <c r="D44" s="167"/>
      <c r="E44" s="67"/>
      <c r="F44" s="67"/>
      <c r="G44" s="67"/>
      <c r="H44" s="33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33"/>
      <c r="B45" s="33"/>
      <c r="C45" s="67"/>
      <c r="D45" s="167"/>
      <c r="E45" s="67"/>
      <c r="F45" s="67"/>
      <c r="G45" s="67"/>
      <c r="H45" s="33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33"/>
      <c r="B46" s="33"/>
      <c r="C46" s="67"/>
      <c r="D46" s="167"/>
      <c r="E46" s="67"/>
      <c r="F46" s="67"/>
      <c r="G46" s="67"/>
      <c r="H46" s="33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33"/>
      <c r="B47" s="33"/>
      <c r="C47" s="67"/>
      <c r="D47" s="167"/>
      <c r="E47" s="67"/>
      <c r="F47" s="67"/>
      <c r="G47" s="67"/>
      <c r="H47" s="33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33"/>
      <c r="B48" s="33"/>
      <c r="C48" s="67"/>
      <c r="D48" s="167"/>
      <c r="E48" s="67"/>
      <c r="F48" s="67"/>
      <c r="G48" s="67"/>
      <c r="H48" s="33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33"/>
      <c r="B49" s="33"/>
      <c r="C49" s="67"/>
      <c r="D49" s="167"/>
      <c r="E49" s="67"/>
      <c r="F49" s="67"/>
      <c r="G49" s="67"/>
      <c r="H49" s="33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3"/>
      <c r="B50" s="33"/>
      <c r="C50" s="67"/>
      <c r="D50" s="167"/>
      <c r="E50" s="67"/>
      <c r="F50" s="67"/>
      <c r="G50" s="67"/>
      <c r="H50" s="33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33"/>
      <c r="B51" s="33"/>
      <c r="C51" s="67"/>
      <c r="D51" s="167"/>
      <c r="E51" s="67"/>
      <c r="F51" s="67"/>
      <c r="G51" s="67"/>
      <c r="H51" s="3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33"/>
      <c r="B52" s="33"/>
      <c r="C52" s="67"/>
      <c r="D52" s="167"/>
      <c r="E52" s="67"/>
      <c r="F52" s="67"/>
      <c r="G52" s="67"/>
      <c r="H52" s="33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3"/>
      <c r="B53" s="33"/>
      <c r="C53" s="67"/>
      <c r="D53" s="167"/>
      <c r="E53" s="67"/>
      <c r="F53" s="67"/>
      <c r="G53" s="67"/>
      <c r="H53" s="33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33"/>
      <c r="B54" s="33"/>
      <c r="C54" s="67"/>
      <c r="D54" s="167"/>
      <c r="E54" s="67"/>
      <c r="F54" s="67"/>
      <c r="G54" s="67"/>
      <c r="H54" s="3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33"/>
      <c r="B55" s="33"/>
      <c r="C55" s="67"/>
      <c r="D55" s="167"/>
      <c r="E55" s="67"/>
      <c r="F55" s="67"/>
      <c r="G55" s="67"/>
      <c r="H55" s="33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33"/>
      <c r="B56" s="33"/>
      <c r="C56" s="67"/>
      <c r="D56" s="167"/>
      <c r="E56" s="67"/>
      <c r="F56" s="67"/>
      <c r="G56" s="67"/>
      <c r="H56" s="3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33"/>
      <c r="B57" s="33"/>
      <c r="C57" s="67"/>
      <c r="D57" s="167"/>
      <c r="E57" s="67"/>
      <c r="F57" s="67"/>
      <c r="G57" s="67"/>
      <c r="H57" s="3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33"/>
      <c r="B58" s="33"/>
      <c r="C58" s="67"/>
      <c r="D58" s="167"/>
      <c r="E58" s="67"/>
      <c r="F58" s="67"/>
      <c r="G58" s="67"/>
      <c r="H58" s="3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33"/>
      <c r="B59" s="33"/>
      <c r="C59" s="67"/>
      <c r="D59" s="167"/>
      <c r="E59" s="67"/>
      <c r="F59" s="67"/>
      <c r="G59" s="67"/>
      <c r="H59" s="3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33"/>
      <c r="B60" s="33"/>
      <c r="C60" s="67"/>
      <c r="D60" s="167"/>
      <c r="E60" s="67"/>
      <c r="F60" s="67"/>
      <c r="G60" s="67"/>
      <c r="H60" s="3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33"/>
      <c r="B61" s="33"/>
      <c r="C61" s="67"/>
      <c r="D61" s="167"/>
      <c r="E61" s="67"/>
      <c r="F61" s="67"/>
      <c r="G61" s="67"/>
      <c r="H61" s="3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33"/>
      <c r="B62" s="33"/>
      <c r="C62" s="67"/>
      <c r="D62" s="167"/>
      <c r="E62" s="67"/>
      <c r="F62" s="67"/>
      <c r="G62" s="67"/>
      <c r="H62" s="3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33"/>
      <c r="B63" s="33"/>
      <c r="C63" s="67"/>
      <c r="D63" s="167"/>
      <c r="E63" s="67"/>
      <c r="F63" s="67"/>
      <c r="G63" s="67"/>
      <c r="H63" s="3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33"/>
      <c r="B64" s="33"/>
      <c r="C64" s="67"/>
      <c r="D64" s="167"/>
      <c r="E64" s="67"/>
      <c r="F64" s="67"/>
      <c r="G64" s="67"/>
      <c r="H64" s="3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33"/>
      <c r="B65" s="33"/>
      <c r="C65" s="67"/>
      <c r="D65" s="167"/>
      <c r="E65" s="67"/>
      <c r="F65" s="67"/>
      <c r="G65" s="67"/>
      <c r="H65" s="3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33"/>
      <c r="B66" s="33"/>
      <c r="C66" s="67"/>
      <c r="D66" s="167"/>
      <c r="E66" s="67"/>
      <c r="F66" s="67"/>
      <c r="G66" s="67"/>
      <c r="H66" s="3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33"/>
      <c r="B67" s="33"/>
      <c r="C67" s="67"/>
      <c r="D67" s="167"/>
      <c r="E67" s="67"/>
      <c r="F67" s="67"/>
      <c r="G67" s="67"/>
      <c r="H67" s="3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33"/>
      <c r="B68" s="33"/>
      <c r="C68" s="67"/>
      <c r="D68" s="167"/>
      <c r="E68" s="67"/>
      <c r="F68" s="67"/>
      <c r="G68" s="67"/>
      <c r="H68" s="3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33"/>
      <c r="B69" s="33"/>
      <c r="C69" s="67"/>
      <c r="D69" s="167"/>
      <c r="E69" s="67"/>
      <c r="F69" s="67"/>
      <c r="G69" s="67"/>
      <c r="H69" s="3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33"/>
      <c r="B70" s="33"/>
      <c r="C70" s="67"/>
      <c r="D70" s="167"/>
      <c r="E70" s="67"/>
      <c r="F70" s="67"/>
      <c r="G70" s="67"/>
      <c r="H70" s="3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33"/>
      <c r="B71" s="33"/>
      <c r="C71" s="67"/>
      <c r="D71" s="167"/>
      <c r="E71" s="67"/>
      <c r="F71" s="67"/>
      <c r="G71" s="67"/>
      <c r="H71" s="3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3"/>
      <c r="B72" s="33"/>
      <c r="C72" s="67"/>
      <c r="D72" s="167"/>
      <c r="E72" s="67"/>
      <c r="F72" s="67"/>
      <c r="G72" s="67"/>
      <c r="H72" s="3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3"/>
      <c r="B73" s="33"/>
      <c r="C73" s="67"/>
      <c r="D73" s="167"/>
      <c r="E73" s="67"/>
      <c r="F73" s="67"/>
      <c r="G73" s="67"/>
      <c r="H73" s="3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3"/>
      <c r="B74" s="33"/>
      <c r="C74" s="67"/>
      <c r="D74" s="167"/>
      <c r="E74" s="67"/>
      <c r="F74" s="67"/>
      <c r="G74" s="67"/>
      <c r="H74" s="3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3"/>
      <c r="B75" s="33"/>
      <c r="C75" s="67"/>
      <c r="D75" s="167"/>
      <c r="E75" s="67"/>
      <c r="F75" s="67"/>
      <c r="G75" s="67"/>
      <c r="H75" s="3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3"/>
      <c r="B76" s="33"/>
      <c r="C76" s="67"/>
      <c r="D76" s="167"/>
      <c r="E76" s="67"/>
      <c r="F76" s="67"/>
      <c r="G76" s="67"/>
      <c r="H76" s="3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3"/>
      <c r="B77" s="33"/>
      <c r="C77" s="67"/>
      <c r="D77" s="167"/>
      <c r="E77" s="67"/>
      <c r="F77" s="67"/>
      <c r="G77" s="67"/>
      <c r="H77" s="3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3"/>
      <c r="B78" s="33"/>
      <c r="C78" s="67"/>
      <c r="D78" s="167"/>
      <c r="E78" s="67"/>
      <c r="F78" s="67"/>
      <c r="G78" s="67"/>
      <c r="H78" s="3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3"/>
      <c r="B79" s="33"/>
      <c r="C79" s="67"/>
      <c r="D79" s="167"/>
      <c r="E79" s="67"/>
      <c r="F79" s="67"/>
      <c r="G79" s="67"/>
      <c r="H79" s="3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3"/>
      <c r="B80" s="33"/>
      <c r="C80" s="67"/>
      <c r="D80" s="167"/>
      <c r="E80" s="67"/>
      <c r="F80" s="67"/>
      <c r="G80" s="67"/>
      <c r="H80" s="3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3"/>
      <c r="B81" s="33"/>
      <c r="C81" s="67"/>
      <c r="D81" s="167"/>
      <c r="E81" s="67"/>
      <c r="F81" s="67"/>
      <c r="G81" s="67"/>
      <c r="H81" s="3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3"/>
      <c r="B82" s="33"/>
      <c r="C82" s="67"/>
      <c r="D82" s="167"/>
      <c r="E82" s="67"/>
      <c r="F82" s="67"/>
      <c r="G82" s="67"/>
      <c r="H82" s="3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3"/>
      <c r="B83" s="33"/>
      <c r="C83" s="67"/>
      <c r="D83" s="167"/>
      <c r="E83" s="67"/>
      <c r="F83" s="67"/>
      <c r="G83" s="67"/>
      <c r="H83" s="3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3"/>
      <c r="B84" s="33"/>
      <c r="C84" s="67"/>
      <c r="D84" s="167"/>
      <c r="E84" s="67"/>
      <c r="F84" s="67"/>
      <c r="G84" s="67"/>
      <c r="H84" s="3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3"/>
      <c r="B85" s="33"/>
      <c r="C85" s="67"/>
      <c r="D85" s="167"/>
      <c r="E85" s="67"/>
      <c r="F85" s="67"/>
      <c r="G85" s="67"/>
      <c r="H85" s="3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3"/>
      <c r="B86" s="33"/>
      <c r="C86" s="67"/>
      <c r="D86" s="167"/>
      <c r="E86" s="67"/>
      <c r="F86" s="67"/>
      <c r="G86" s="67"/>
      <c r="H86" s="3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3"/>
      <c r="B87" s="33"/>
      <c r="C87" s="67"/>
      <c r="D87" s="167"/>
      <c r="E87" s="67"/>
      <c r="F87" s="67"/>
      <c r="G87" s="67"/>
      <c r="H87" s="3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3"/>
      <c r="B88" s="33"/>
      <c r="C88" s="67"/>
      <c r="D88" s="167"/>
      <c r="E88" s="67"/>
      <c r="F88" s="67"/>
      <c r="G88" s="67"/>
      <c r="H88" s="3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3"/>
      <c r="B89" s="33"/>
      <c r="C89" s="67"/>
      <c r="D89" s="167"/>
      <c r="E89" s="67"/>
      <c r="F89" s="67"/>
      <c r="G89" s="67"/>
      <c r="H89" s="3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3"/>
      <c r="B90" s="33"/>
      <c r="C90" s="67"/>
      <c r="D90" s="167"/>
      <c r="E90" s="67"/>
      <c r="F90" s="67"/>
      <c r="G90" s="67"/>
      <c r="H90" s="3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3"/>
      <c r="B91" s="33"/>
      <c r="C91" s="67"/>
      <c r="D91" s="167"/>
      <c r="E91" s="67"/>
      <c r="F91" s="67"/>
      <c r="G91" s="67"/>
      <c r="H91" s="3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3"/>
      <c r="B92" s="33"/>
      <c r="C92" s="67"/>
      <c r="D92" s="167"/>
      <c r="E92" s="67"/>
      <c r="F92" s="67"/>
      <c r="G92" s="67"/>
      <c r="H92" s="3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33"/>
      <c r="B93" s="33"/>
      <c r="C93" s="67"/>
      <c r="D93" s="167"/>
      <c r="E93" s="67"/>
      <c r="F93" s="67"/>
      <c r="G93" s="67"/>
      <c r="H93" s="3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33"/>
      <c r="B94" s="33"/>
      <c r="C94" s="67"/>
      <c r="D94" s="167"/>
      <c r="E94" s="67"/>
      <c r="F94" s="67"/>
      <c r="G94" s="67"/>
      <c r="H94" s="3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33"/>
      <c r="B95" s="33"/>
      <c r="C95" s="67"/>
      <c r="D95" s="167"/>
      <c r="E95" s="67"/>
      <c r="F95" s="67"/>
      <c r="G95" s="67"/>
      <c r="H95" s="3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3"/>
      <c r="B96" s="33"/>
      <c r="C96" s="67"/>
      <c r="D96" s="167"/>
      <c r="E96" s="67"/>
      <c r="F96" s="67"/>
      <c r="G96" s="67"/>
      <c r="H96" s="3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33"/>
      <c r="B97" s="33"/>
      <c r="C97" s="67"/>
      <c r="D97" s="167"/>
      <c r="E97" s="67"/>
      <c r="F97" s="67"/>
      <c r="G97" s="67"/>
      <c r="H97" s="3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33"/>
      <c r="B98" s="33"/>
      <c r="C98" s="67"/>
      <c r="D98" s="167"/>
      <c r="E98" s="67"/>
      <c r="F98" s="67"/>
      <c r="G98" s="67"/>
      <c r="H98" s="3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33"/>
      <c r="B99" s="33"/>
      <c r="C99" s="67"/>
      <c r="D99" s="167"/>
      <c r="E99" s="67"/>
      <c r="F99" s="67"/>
      <c r="G99" s="67"/>
      <c r="H99" s="3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33"/>
      <c r="B100" s="33"/>
      <c r="C100" s="67"/>
      <c r="D100" s="167"/>
      <c r="E100" s="67"/>
      <c r="F100" s="67"/>
      <c r="G100" s="67"/>
      <c r="H100" s="3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33"/>
      <c r="B101" s="33"/>
      <c r="C101" s="67"/>
      <c r="D101" s="167"/>
      <c r="E101" s="67"/>
      <c r="F101" s="67"/>
      <c r="G101" s="67"/>
      <c r="H101" s="3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33"/>
      <c r="B102" s="33"/>
      <c r="C102" s="67"/>
      <c r="D102" s="167"/>
      <c r="E102" s="67"/>
      <c r="F102" s="67"/>
      <c r="G102" s="67"/>
      <c r="H102" s="3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33"/>
      <c r="B103" s="33"/>
      <c r="C103" s="67"/>
      <c r="D103" s="167"/>
      <c r="E103" s="67"/>
      <c r="F103" s="67"/>
      <c r="G103" s="67"/>
      <c r="H103" s="3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33"/>
      <c r="B104" s="33"/>
      <c r="C104" s="67"/>
      <c r="D104" s="167"/>
      <c r="E104" s="67"/>
      <c r="F104" s="67"/>
      <c r="G104" s="67"/>
      <c r="H104" s="3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33"/>
      <c r="B105" s="33"/>
      <c r="C105" s="67"/>
      <c r="D105" s="167"/>
      <c r="E105" s="67"/>
      <c r="F105" s="67"/>
      <c r="G105" s="67"/>
      <c r="H105" s="3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33"/>
      <c r="B106" s="33"/>
      <c r="C106" s="67"/>
      <c r="D106" s="167"/>
      <c r="E106" s="67"/>
      <c r="F106" s="67"/>
      <c r="G106" s="67"/>
      <c r="H106" s="3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33"/>
      <c r="B107" s="33"/>
      <c r="C107" s="67"/>
      <c r="D107" s="167"/>
      <c r="E107" s="67"/>
      <c r="F107" s="67"/>
      <c r="G107" s="67"/>
      <c r="H107" s="3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33"/>
      <c r="B108" s="33"/>
      <c r="C108" s="67"/>
      <c r="D108" s="167"/>
      <c r="E108" s="67"/>
      <c r="F108" s="67"/>
      <c r="G108" s="67"/>
      <c r="H108" s="3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33"/>
      <c r="B109" s="33"/>
      <c r="C109" s="67"/>
      <c r="D109" s="167"/>
      <c r="E109" s="67"/>
      <c r="F109" s="67"/>
      <c r="G109" s="67"/>
      <c r="H109" s="3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33"/>
      <c r="B110" s="33"/>
      <c r="C110" s="67"/>
      <c r="D110" s="167"/>
      <c r="E110" s="67"/>
      <c r="F110" s="67"/>
      <c r="G110" s="67"/>
      <c r="H110" s="3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33"/>
      <c r="B111" s="33"/>
      <c r="C111" s="67"/>
      <c r="D111" s="167"/>
      <c r="E111" s="67"/>
      <c r="F111" s="67"/>
      <c r="G111" s="67"/>
      <c r="H111" s="3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33"/>
      <c r="B112" s="33"/>
      <c r="C112" s="67"/>
      <c r="D112" s="167"/>
      <c r="E112" s="67"/>
      <c r="F112" s="67"/>
      <c r="G112" s="67"/>
      <c r="H112" s="3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33"/>
      <c r="B113" s="33"/>
      <c r="C113" s="67"/>
      <c r="D113" s="167"/>
      <c r="E113" s="67"/>
      <c r="F113" s="67"/>
      <c r="G113" s="67"/>
      <c r="H113" s="3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33"/>
      <c r="B114" s="33"/>
      <c r="C114" s="67"/>
      <c r="D114" s="167"/>
      <c r="E114" s="67"/>
      <c r="F114" s="67"/>
      <c r="G114" s="67"/>
      <c r="H114" s="3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33"/>
      <c r="B115" s="33"/>
      <c r="C115" s="67"/>
      <c r="D115" s="167"/>
      <c r="E115" s="67"/>
      <c r="F115" s="67"/>
      <c r="G115" s="67"/>
      <c r="H115" s="3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33"/>
      <c r="B116" s="33"/>
      <c r="C116" s="67"/>
      <c r="D116" s="167"/>
      <c r="E116" s="67"/>
      <c r="F116" s="67"/>
      <c r="G116" s="67"/>
      <c r="H116" s="3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33"/>
      <c r="B117" s="33"/>
      <c r="C117" s="67"/>
      <c r="D117" s="167"/>
      <c r="E117" s="67"/>
      <c r="F117" s="67"/>
      <c r="G117" s="67"/>
      <c r="H117" s="3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33"/>
      <c r="B118" s="33"/>
      <c r="C118" s="67"/>
      <c r="D118" s="167"/>
      <c r="E118" s="67"/>
      <c r="F118" s="67"/>
      <c r="G118" s="67"/>
      <c r="H118" s="3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33"/>
      <c r="B119" s="33"/>
      <c r="C119" s="67"/>
      <c r="D119" s="167"/>
      <c r="E119" s="67"/>
      <c r="F119" s="67"/>
      <c r="G119" s="67"/>
      <c r="H119" s="3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33"/>
      <c r="B120" s="33"/>
      <c r="C120" s="67"/>
      <c r="D120" s="167"/>
      <c r="E120" s="67"/>
      <c r="F120" s="67"/>
      <c r="G120" s="67"/>
      <c r="H120" s="3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33"/>
      <c r="B121" s="33"/>
      <c r="C121" s="67"/>
      <c r="D121" s="167"/>
      <c r="E121" s="67"/>
      <c r="F121" s="67"/>
      <c r="G121" s="67"/>
      <c r="H121" s="3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33"/>
      <c r="B122" s="33"/>
      <c r="C122" s="67"/>
      <c r="D122" s="167"/>
      <c r="E122" s="67"/>
      <c r="F122" s="67"/>
      <c r="G122" s="67"/>
      <c r="H122" s="3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33"/>
      <c r="B123" s="33"/>
      <c r="C123" s="67"/>
      <c r="D123" s="167"/>
      <c r="E123" s="67"/>
      <c r="F123" s="67"/>
      <c r="G123" s="67"/>
      <c r="H123" s="3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33"/>
      <c r="B124" s="33"/>
      <c r="C124" s="67"/>
      <c r="D124" s="167"/>
      <c r="E124" s="67"/>
      <c r="F124" s="67"/>
      <c r="G124" s="67"/>
      <c r="H124" s="3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33"/>
      <c r="B125" s="33"/>
      <c r="C125" s="67"/>
      <c r="D125" s="167"/>
      <c r="E125" s="67"/>
      <c r="F125" s="67"/>
      <c r="G125" s="67"/>
      <c r="H125" s="3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33"/>
      <c r="B126" s="33"/>
      <c r="C126" s="67"/>
      <c r="D126" s="167"/>
      <c r="E126" s="67"/>
      <c r="F126" s="67"/>
      <c r="G126" s="67"/>
      <c r="H126" s="3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33"/>
      <c r="B127" s="33"/>
      <c r="C127" s="67"/>
      <c r="D127" s="167"/>
      <c r="E127" s="67"/>
      <c r="F127" s="67"/>
      <c r="G127" s="67"/>
      <c r="H127" s="3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33"/>
      <c r="B128" s="33"/>
      <c r="C128" s="67"/>
      <c r="D128" s="167"/>
      <c r="E128" s="67"/>
      <c r="F128" s="67"/>
      <c r="G128" s="67"/>
      <c r="H128" s="3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33"/>
      <c r="B129" s="33"/>
      <c r="C129" s="67"/>
      <c r="D129" s="167"/>
      <c r="E129" s="67"/>
      <c r="F129" s="67"/>
      <c r="G129" s="67"/>
      <c r="H129" s="3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33"/>
      <c r="B130" s="33"/>
      <c r="C130" s="67"/>
      <c r="D130" s="167"/>
      <c r="E130" s="67"/>
      <c r="F130" s="67"/>
      <c r="G130" s="67"/>
      <c r="H130" s="3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33"/>
      <c r="B131" s="33"/>
      <c r="C131" s="67"/>
      <c r="D131" s="167"/>
      <c r="E131" s="67"/>
      <c r="F131" s="67"/>
      <c r="G131" s="67"/>
      <c r="H131" s="3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33"/>
      <c r="B132" s="33"/>
      <c r="C132" s="67"/>
      <c r="D132" s="167"/>
      <c r="E132" s="67"/>
      <c r="F132" s="67"/>
      <c r="G132" s="67"/>
      <c r="H132" s="3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33"/>
      <c r="B133" s="33"/>
      <c r="C133" s="67"/>
      <c r="D133" s="167"/>
      <c r="E133" s="67"/>
      <c r="F133" s="67"/>
      <c r="G133" s="67"/>
      <c r="H133" s="3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3"/>
      <c r="B134" s="33"/>
      <c r="C134" s="67"/>
      <c r="D134" s="167"/>
      <c r="E134" s="67"/>
      <c r="F134" s="67"/>
      <c r="G134" s="67"/>
      <c r="H134" s="3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33"/>
      <c r="B135" s="33"/>
      <c r="C135" s="67"/>
      <c r="D135" s="167"/>
      <c r="E135" s="67"/>
      <c r="F135" s="67"/>
      <c r="G135" s="67"/>
      <c r="H135" s="3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33"/>
      <c r="B136" s="33"/>
      <c r="C136" s="67"/>
      <c r="D136" s="167"/>
      <c r="E136" s="67"/>
      <c r="F136" s="67"/>
      <c r="G136" s="67"/>
      <c r="H136" s="3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33"/>
      <c r="B137" s="33"/>
      <c r="C137" s="67"/>
      <c r="D137" s="167"/>
      <c r="E137" s="67"/>
      <c r="F137" s="67"/>
      <c r="G137" s="67"/>
      <c r="H137" s="3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33"/>
      <c r="B138" s="33"/>
      <c r="C138" s="67"/>
      <c r="D138" s="167"/>
      <c r="E138" s="67"/>
      <c r="F138" s="67"/>
      <c r="G138" s="67"/>
      <c r="H138" s="3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33"/>
      <c r="B139" s="33"/>
      <c r="C139" s="67"/>
      <c r="D139" s="167"/>
      <c r="E139" s="67"/>
      <c r="F139" s="67"/>
      <c r="G139" s="67"/>
      <c r="H139" s="3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33"/>
      <c r="B140" s="33"/>
      <c r="C140" s="67"/>
      <c r="D140" s="167"/>
      <c r="E140" s="67"/>
      <c r="F140" s="67"/>
      <c r="G140" s="67"/>
      <c r="H140" s="3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33"/>
      <c r="B141" s="33"/>
      <c r="C141" s="67"/>
      <c r="D141" s="167"/>
      <c r="E141" s="67"/>
      <c r="F141" s="67"/>
      <c r="G141" s="67"/>
      <c r="H141" s="3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33"/>
      <c r="B142" s="33"/>
      <c r="C142" s="67"/>
      <c r="D142" s="167"/>
      <c r="E142" s="67"/>
      <c r="F142" s="67"/>
      <c r="G142" s="67"/>
      <c r="H142" s="3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33"/>
      <c r="B143" s="33"/>
      <c r="C143" s="67"/>
      <c r="D143" s="167"/>
      <c r="E143" s="67"/>
      <c r="F143" s="67"/>
      <c r="G143" s="67"/>
      <c r="H143" s="3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33"/>
      <c r="B144" s="33"/>
      <c r="C144" s="67"/>
      <c r="D144" s="167"/>
      <c r="E144" s="67"/>
      <c r="F144" s="67"/>
      <c r="G144" s="67"/>
      <c r="H144" s="3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33"/>
      <c r="B145" s="33"/>
      <c r="C145" s="67"/>
      <c r="D145" s="167"/>
      <c r="E145" s="67"/>
      <c r="F145" s="67"/>
      <c r="G145" s="67"/>
      <c r="H145" s="3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33"/>
      <c r="B146" s="33"/>
      <c r="C146" s="67"/>
      <c r="D146" s="167"/>
      <c r="E146" s="67"/>
      <c r="F146" s="67"/>
      <c r="G146" s="67"/>
      <c r="H146" s="3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33"/>
      <c r="B147" s="33"/>
      <c r="C147" s="67"/>
      <c r="D147" s="167"/>
      <c r="E147" s="67"/>
      <c r="F147" s="67"/>
      <c r="G147" s="67"/>
      <c r="H147" s="3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33"/>
      <c r="B148" s="33"/>
      <c r="C148" s="67"/>
      <c r="D148" s="167"/>
      <c r="E148" s="67"/>
      <c r="F148" s="67"/>
      <c r="G148" s="67"/>
      <c r="H148" s="3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33"/>
      <c r="B149" s="33"/>
      <c r="C149" s="67"/>
      <c r="D149" s="167"/>
      <c r="E149" s="67"/>
      <c r="F149" s="67"/>
      <c r="G149" s="67"/>
      <c r="H149" s="3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33"/>
      <c r="B150" s="33"/>
      <c r="C150" s="67"/>
      <c r="D150" s="167"/>
      <c r="E150" s="67"/>
      <c r="F150" s="67"/>
      <c r="G150" s="67"/>
      <c r="H150" s="3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33"/>
      <c r="B151" s="33"/>
      <c r="C151" s="67"/>
      <c r="D151" s="167"/>
      <c r="E151" s="67"/>
      <c r="F151" s="67"/>
      <c r="G151" s="67"/>
      <c r="H151" s="3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33"/>
      <c r="B152" s="33"/>
      <c r="C152" s="67"/>
      <c r="D152" s="167"/>
      <c r="E152" s="67"/>
      <c r="F152" s="67"/>
      <c r="G152" s="67"/>
      <c r="H152" s="3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33"/>
      <c r="B153" s="33"/>
      <c r="C153" s="67"/>
      <c r="D153" s="167"/>
      <c r="E153" s="67"/>
      <c r="F153" s="67"/>
      <c r="G153" s="67"/>
      <c r="H153" s="3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33"/>
      <c r="B154" s="33"/>
      <c r="C154" s="67"/>
      <c r="D154" s="167"/>
      <c r="E154" s="67"/>
      <c r="F154" s="67"/>
      <c r="G154" s="67"/>
      <c r="H154" s="3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33"/>
      <c r="B155" s="33"/>
      <c r="C155" s="67"/>
      <c r="D155" s="167"/>
      <c r="E155" s="67"/>
      <c r="F155" s="67"/>
      <c r="G155" s="67"/>
      <c r="H155" s="3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33"/>
      <c r="B156" s="33"/>
      <c r="C156" s="67"/>
      <c r="D156" s="167"/>
      <c r="E156" s="67"/>
      <c r="F156" s="67"/>
      <c r="G156" s="67"/>
      <c r="H156" s="3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33"/>
      <c r="B157" s="33"/>
      <c r="C157" s="67"/>
      <c r="D157" s="167"/>
      <c r="E157" s="67"/>
      <c r="F157" s="67"/>
      <c r="G157" s="67"/>
      <c r="H157" s="3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33"/>
      <c r="B158" s="33"/>
      <c r="C158" s="67"/>
      <c r="D158" s="167"/>
      <c r="E158" s="67"/>
      <c r="F158" s="67"/>
      <c r="G158" s="67"/>
      <c r="H158" s="3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33"/>
      <c r="B159" s="33"/>
      <c r="C159" s="67"/>
      <c r="D159" s="167"/>
      <c r="E159" s="67"/>
      <c r="F159" s="67"/>
      <c r="G159" s="67"/>
      <c r="H159" s="3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3"/>
      <c r="B160" s="33"/>
      <c r="C160" s="67"/>
      <c r="D160" s="167"/>
      <c r="E160" s="67"/>
      <c r="F160" s="67"/>
      <c r="G160" s="67"/>
      <c r="H160" s="3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33"/>
      <c r="B161" s="33"/>
      <c r="C161" s="67"/>
      <c r="D161" s="167"/>
      <c r="E161" s="67"/>
      <c r="F161" s="67"/>
      <c r="G161" s="67"/>
      <c r="H161" s="3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33"/>
      <c r="B162" s="33"/>
      <c r="C162" s="67"/>
      <c r="D162" s="167"/>
      <c r="E162" s="67"/>
      <c r="F162" s="67"/>
      <c r="G162" s="67"/>
      <c r="H162" s="3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33"/>
      <c r="B163" s="33"/>
      <c r="C163" s="67"/>
      <c r="D163" s="167"/>
      <c r="E163" s="67"/>
      <c r="F163" s="67"/>
      <c r="G163" s="67"/>
      <c r="H163" s="3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33"/>
      <c r="B164" s="33"/>
      <c r="C164" s="67"/>
      <c r="D164" s="167"/>
      <c r="E164" s="67"/>
      <c r="F164" s="67"/>
      <c r="G164" s="67"/>
      <c r="H164" s="3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33"/>
      <c r="B165" s="33"/>
      <c r="C165" s="67"/>
      <c r="D165" s="167"/>
      <c r="E165" s="67"/>
      <c r="F165" s="67"/>
      <c r="G165" s="67"/>
      <c r="H165" s="3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33"/>
      <c r="B166" s="33"/>
      <c r="C166" s="67"/>
      <c r="D166" s="167"/>
      <c r="E166" s="67"/>
      <c r="F166" s="67"/>
      <c r="G166" s="67"/>
      <c r="H166" s="3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33"/>
      <c r="B167" s="33"/>
      <c r="C167" s="67"/>
      <c r="D167" s="167"/>
      <c r="E167" s="67"/>
      <c r="F167" s="67"/>
      <c r="G167" s="67"/>
      <c r="H167" s="3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33"/>
      <c r="B168" s="33"/>
      <c r="C168" s="67"/>
      <c r="D168" s="167"/>
      <c r="E168" s="67"/>
      <c r="F168" s="67"/>
      <c r="G168" s="67"/>
      <c r="H168" s="3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33"/>
      <c r="B169" s="33"/>
      <c r="C169" s="67"/>
      <c r="D169" s="167"/>
      <c r="E169" s="67"/>
      <c r="F169" s="67"/>
      <c r="G169" s="67"/>
      <c r="H169" s="3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33"/>
      <c r="B170" s="33"/>
      <c r="C170" s="67"/>
      <c r="D170" s="167"/>
      <c r="E170" s="67"/>
      <c r="F170" s="67"/>
      <c r="G170" s="67"/>
      <c r="H170" s="3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33"/>
      <c r="B171" s="33"/>
      <c r="C171" s="67"/>
      <c r="D171" s="167"/>
      <c r="E171" s="67"/>
      <c r="F171" s="67"/>
      <c r="G171" s="67"/>
      <c r="H171" s="3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3"/>
      <c r="B172" s="33"/>
      <c r="C172" s="67"/>
      <c r="D172" s="167"/>
      <c r="E172" s="67"/>
      <c r="F172" s="67"/>
      <c r="G172" s="67"/>
      <c r="H172" s="3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3"/>
      <c r="B173" s="33"/>
      <c r="C173" s="67"/>
      <c r="D173" s="167"/>
      <c r="E173" s="67"/>
      <c r="F173" s="67"/>
      <c r="G173" s="67"/>
      <c r="H173" s="3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3"/>
      <c r="B174" s="33"/>
      <c r="C174" s="67"/>
      <c r="D174" s="167"/>
      <c r="E174" s="67"/>
      <c r="F174" s="67"/>
      <c r="G174" s="67"/>
      <c r="H174" s="3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3"/>
      <c r="B175" s="33"/>
      <c r="C175" s="67"/>
      <c r="D175" s="167"/>
      <c r="E175" s="67"/>
      <c r="F175" s="67"/>
      <c r="G175" s="67"/>
      <c r="H175" s="3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3"/>
      <c r="B176" s="33"/>
      <c r="C176" s="67"/>
      <c r="D176" s="167"/>
      <c r="E176" s="67"/>
      <c r="F176" s="67"/>
      <c r="G176" s="67"/>
      <c r="H176" s="3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3"/>
      <c r="B177" s="33"/>
      <c r="C177" s="67"/>
      <c r="D177" s="167"/>
      <c r="E177" s="67"/>
      <c r="F177" s="67"/>
      <c r="G177" s="67"/>
      <c r="H177" s="3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3"/>
      <c r="B178" s="33"/>
      <c r="C178" s="67"/>
      <c r="D178" s="167"/>
      <c r="E178" s="67"/>
      <c r="F178" s="67"/>
      <c r="G178" s="67"/>
      <c r="H178" s="3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3"/>
      <c r="B179" s="33"/>
      <c r="C179" s="67"/>
      <c r="D179" s="167"/>
      <c r="E179" s="67"/>
      <c r="F179" s="67"/>
      <c r="G179" s="67"/>
      <c r="H179" s="3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33"/>
      <c r="B180" s="33"/>
      <c r="C180" s="67"/>
      <c r="D180" s="167"/>
      <c r="E180" s="67"/>
      <c r="F180" s="67"/>
      <c r="G180" s="67"/>
      <c r="H180" s="3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33"/>
      <c r="B181" s="33"/>
      <c r="C181" s="67"/>
      <c r="D181" s="167"/>
      <c r="E181" s="67"/>
      <c r="F181" s="67"/>
      <c r="G181" s="67"/>
      <c r="H181" s="3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33"/>
      <c r="B182" s="33"/>
      <c r="C182" s="67"/>
      <c r="D182" s="167"/>
      <c r="E182" s="67"/>
      <c r="F182" s="67"/>
      <c r="G182" s="67"/>
      <c r="H182" s="3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33"/>
      <c r="B183" s="33"/>
      <c r="C183" s="67"/>
      <c r="D183" s="167"/>
      <c r="E183" s="67"/>
      <c r="F183" s="67"/>
      <c r="G183" s="67"/>
      <c r="H183" s="3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33"/>
      <c r="B184" s="33"/>
      <c r="C184" s="67"/>
      <c r="D184" s="167"/>
      <c r="E184" s="67"/>
      <c r="F184" s="67"/>
      <c r="G184" s="67"/>
      <c r="H184" s="3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33"/>
      <c r="B185" s="33"/>
      <c r="C185" s="67"/>
      <c r="D185" s="167"/>
      <c r="E185" s="67"/>
      <c r="F185" s="67"/>
      <c r="G185" s="67"/>
      <c r="H185" s="3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33"/>
      <c r="B186" s="33"/>
      <c r="C186" s="67"/>
      <c r="D186" s="167"/>
      <c r="E186" s="67"/>
      <c r="F186" s="67"/>
      <c r="G186" s="67"/>
      <c r="H186" s="3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33"/>
      <c r="B187" s="33"/>
      <c r="C187" s="67"/>
      <c r="D187" s="167"/>
      <c r="E187" s="67"/>
      <c r="F187" s="67"/>
      <c r="G187" s="67"/>
      <c r="H187" s="3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33"/>
      <c r="B188" s="33"/>
      <c r="C188" s="67"/>
      <c r="D188" s="167"/>
      <c r="E188" s="67"/>
      <c r="F188" s="67"/>
      <c r="G188" s="67"/>
      <c r="H188" s="3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33"/>
      <c r="B189" s="33"/>
      <c r="C189" s="67"/>
      <c r="D189" s="167"/>
      <c r="E189" s="67"/>
      <c r="F189" s="67"/>
      <c r="G189" s="67"/>
      <c r="H189" s="3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3"/>
      <c r="B190" s="33"/>
      <c r="C190" s="67"/>
      <c r="D190" s="167"/>
      <c r="E190" s="67"/>
      <c r="F190" s="67"/>
      <c r="G190" s="67"/>
      <c r="H190" s="3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3"/>
      <c r="B191" s="33"/>
      <c r="C191" s="67"/>
      <c r="D191" s="167"/>
      <c r="E191" s="67"/>
      <c r="F191" s="67"/>
      <c r="G191" s="67"/>
      <c r="H191" s="3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3"/>
      <c r="B192" s="33"/>
      <c r="C192" s="67"/>
      <c r="D192" s="167"/>
      <c r="E192" s="67"/>
      <c r="F192" s="67"/>
      <c r="G192" s="67"/>
      <c r="H192" s="3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3"/>
      <c r="B193" s="33"/>
      <c r="C193" s="67"/>
      <c r="D193" s="167"/>
      <c r="E193" s="67"/>
      <c r="F193" s="67"/>
      <c r="G193" s="67"/>
      <c r="H193" s="3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3"/>
      <c r="B194" s="33"/>
      <c r="C194" s="67"/>
      <c r="D194" s="167"/>
      <c r="E194" s="67"/>
      <c r="F194" s="67"/>
      <c r="G194" s="67"/>
      <c r="H194" s="3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3"/>
      <c r="B195" s="33"/>
      <c r="C195" s="67"/>
      <c r="D195" s="167"/>
      <c r="E195" s="67"/>
      <c r="F195" s="67"/>
      <c r="G195" s="67"/>
      <c r="H195" s="3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3"/>
      <c r="B196" s="33"/>
      <c r="C196" s="67"/>
      <c r="D196" s="167"/>
      <c r="E196" s="67"/>
      <c r="F196" s="67"/>
      <c r="G196" s="67"/>
      <c r="H196" s="3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3"/>
      <c r="B197" s="33"/>
      <c r="C197" s="67"/>
      <c r="D197" s="167"/>
      <c r="E197" s="67"/>
      <c r="F197" s="67"/>
      <c r="G197" s="67"/>
      <c r="H197" s="3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3"/>
      <c r="B198" s="33"/>
      <c r="C198" s="67"/>
      <c r="D198" s="167"/>
      <c r="E198" s="67"/>
      <c r="F198" s="67"/>
      <c r="G198" s="67"/>
      <c r="H198" s="3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3"/>
      <c r="B199" s="33"/>
      <c r="C199" s="67"/>
      <c r="D199" s="167"/>
      <c r="E199" s="67"/>
      <c r="F199" s="67"/>
      <c r="G199" s="67"/>
      <c r="H199" s="3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3"/>
      <c r="B200" s="33"/>
      <c r="C200" s="67"/>
      <c r="D200" s="167"/>
      <c r="E200" s="67"/>
      <c r="F200" s="67"/>
      <c r="G200" s="67"/>
      <c r="H200" s="3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3"/>
      <c r="B201" s="33"/>
      <c r="C201" s="67"/>
      <c r="D201" s="167"/>
      <c r="E201" s="67"/>
      <c r="F201" s="67"/>
      <c r="G201" s="67"/>
      <c r="H201" s="3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3"/>
      <c r="B202" s="33"/>
      <c r="C202" s="67"/>
      <c r="D202" s="167"/>
      <c r="E202" s="67"/>
      <c r="F202" s="67"/>
      <c r="G202" s="67"/>
      <c r="H202" s="3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3"/>
      <c r="B203" s="33"/>
      <c r="C203" s="67"/>
      <c r="D203" s="167"/>
      <c r="E203" s="67"/>
      <c r="F203" s="67"/>
      <c r="G203" s="67"/>
      <c r="H203" s="3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3"/>
      <c r="B204" s="33"/>
      <c r="C204" s="67"/>
      <c r="D204" s="167"/>
      <c r="E204" s="67"/>
      <c r="F204" s="67"/>
      <c r="G204" s="67"/>
      <c r="H204" s="3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3"/>
      <c r="B205" s="33"/>
      <c r="C205" s="67"/>
      <c r="D205" s="167"/>
      <c r="E205" s="67"/>
      <c r="F205" s="67"/>
      <c r="G205" s="67"/>
      <c r="H205" s="3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3"/>
      <c r="B206" s="33"/>
      <c r="C206" s="67"/>
      <c r="D206" s="167"/>
      <c r="E206" s="67"/>
      <c r="F206" s="67"/>
      <c r="G206" s="67"/>
      <c r="H206" s="3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3"/>
      <c r="B207" s="33"/>
      <c r="C207" s="67"/>
      <c r="D207" s="167"/>
      <c r="E207" s="67"/>
      <c r="F207" s="67"/>
      <c r="G207" s="67"/>
      <c r="H207" s="3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3"/>
      <c r="B208" s="33"/>
      <c r="C208" s="67"/>
      <c r="D208" s="167"/>
      <c r="E208" s="67"/>
      <c r="F208" s="67"/>
      <c r="G208" s="67"/>
      <c r="H208" s="3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3"/>
      <c r="B209" s="33"/>
      <c r="C209" s="67"/>
      <c r="D209" s="167"/>
      <c r="E209" s="67"/>
      <c r="F209" s="67"/>
      <c r="G209" s="67"/>
      <c r="H209" s="3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3"/>
      <c r="B210" s="33"/>
      <c r="C210" s="67"/>
      <c r="D210" s="167"/>
      <c r="E210" s="67"/>
      <c r="F210" s="67"/>
      <c r="G210" s="67"/>
      <c r="H210" s="3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3"/>
      <c r="B211" s="33"/>
      <c r="C211" s="67"/>
      <c r="D211" s="167"/>
      <c r="E211" s="67"/>
      <c r="F211" s="67"/>
      <c r="G211" s="67"/>
      <c r="H211" s="3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3"/>
      <c r="B212" s="33"/>
      <c r="C212" s="67"/>
      <c r="D212" s="167"/>
      <c r="E212" s="67"/>
      <c r="F212" s="67"/>
      <c r="G212" s="67"/>
      <c r="H212" s="3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3"/>
      <c r="B213" s="33"/>
      <c r="C213" s="67"/>
      <c r="D213" s="167"/>
      <c r="E213" s="67"/>
      <c r="F213" s="67"/>
      <c r="G213" s="67"/>
      <c r="H213" s="3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3"/>
      <c r="B214" s="33"/>
      <c r="C214" s="67"/>
      <c r="D214" s="167"/>
      <c r="E214" s="67"/>
      <c r="F214" s="67"/>
      <c r="G214" s="67"/>
      <c r="H214" s="3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33"/>
      <c r="B215" s="33"/>
      <c r="C215" s="67"/>
      <c r="D215" s="167"/>
      <c r="E215" s="67"/>
      <c r="F215" s="67"/>
      <c r="G215" s="67"/>
      <c r="H215" s="3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33"/>
      <c r="B216" s="33"/>
      <c r="C216" s="67"/>
      <c r="D216" s="167"/>
      <c r="E216" s="67"/>
      <c r="F216" s="67"/>
      <c r="G216" s="67"/>
      <c r="H216" s="3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33"/>
      <c r="B217" s="33"/>
      <c r="C217" s="67"/>
      <c r="D217" s="167"/>
      <c r="E217" s="67"/>
      <c r="F217" s="67"/>
      <c r="G217" s="67"/>
      <c r="H217" s="3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33"/>
      <c r="B218" s="33"/>
      <c r="C218" s="67"/>
      <c r="D218" s="167"/>
      <c r="E218" s="67"/>
      <c r="F218" s="67"/>
      <c r="G218" s="67"/>
      <c r="H218" s="3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33"/>
      <c r="B219" s="33"/>
      <c r="C219" s="67"/>
      <c r="D219" s="167"/>
      <c r="E219" s="67"/>
      <c r="F219" s="67"/>
      <c r="G219" s="67"/>
      <c r="H219" s="3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33"/>
      <c r="B220" s="33"/>
      <c r="C220" s="67"/>
      <c r="D220" s="167"/>
      <c r="E220" s="67"/>
      <c r="F220" s="67"/>
      <c r="G220" s="67"/>
      <c r="H220" s="3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33"/>
      <c r="B221" s="33"/>
      <c r="C221" s="67"/>
      <c r="D221" s="167"/>
      <c r="E221" s="67"/>
      <c r="F221" s="67"/>
      <c r="G221" s="67"/>
      <c r="H221" s="3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33"/>
      <c r="B222" s="33"/>
      <c r="C222" s="67"/>
      <c r="D222" s="167"/>
      <c r="E222" s="67"/>
      <c r="F222" s="67"/>
      <c r="G222" s="67"/>
      <c r="H222" s="3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33"/>
      <c r="B223" s="33"/>
      <c r="C223" s="67"/>
      <c r="D223" s="167"/>
      <c r="E223" s="67"/>
      <c r="F223" s="67"/>
      <c r="G223" s="67"/>
      <c r="H223" s="3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33"/>
      <c r="B224" s="33"/>
      <c r="C224" s="67"/>
      <c r="D224" s="167"/>
      <c r="E224" s="67"/>
      <c r="F224" s="67"/>
      <c r="G224" s="67"/>
      <c r="H224" s="3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33"/>
      <c r="B225" s="33"/>
      <c r="C225" s="67"/>
      <c r="D225" s="167"/>
      <c r="E225" s="67"/>
      <c r="F225" s="67"/>
      <c r="G225" s="67"/>
      <c r="H225" s="3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33"/>
      <c r="B226" s="33"/>
      <c r="C226" s="67"/>
      <c r="D226" s="167"/>
      <c r="E226" s="67"/>
      <c r="F226" s="67"/>
      <c r="G226" s="67"/>
      <c r="H226" s="3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33"/>
      <c r="B227" s="33"/>
      <c r="C227" s="67"/>
      <c r="D227" s="167"/>
      <c r="E227" s="67"/>
      <c r="F227" s="67"/>
      <c r="G227" s="67"/>
      <c r="H227" s="3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33"/>
      <c r="B228" s="33"/>
      <c r="C228" s="67"/>
      <c r="D228" s="167"/>
      <c r="E228" s="67"/>
      <c r="F228" s="67"/>
      <c r="G228" s="67"/>
      <c r="H228" s="3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33"/>
      <c r="B229" s="33"/>
      <c r="C229" s="67"/>
      <c r="D229" s="167"/>
      <c r="E229" s="67"/>
      <c r="F229" s="67"/>
      <c r="G229" s="67"/>
      <c r="H229" s="3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33"/>
      <c r="B230" s="33"/>
      <c r="C230" s="67"/>
      <c r="D230" s="167"/>
      <c r="E230" s="67"/>
      <c r="F230" s="67"/>
      <c r="G230" s="67"/>
      <c r="H230" s="3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33"/>
      <c r="B231" s="33"/>
      <c r="C231" s="67"/>
      <c r="D231" s="167"/>
      <c r="E231" s="67"/>
      <c r="F231" s="67"/>
      <c r="G231" s="67"/>
      <c r="H231" s="3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33"/>
      <c r="B232" s="33"/>
      <c r="C232" s="67"/>
      <c r="D232" s="167"/>
      <c r="E232" s="67"/>
      <c r="F232" s="67"/>
      <c r="G232" s="67"/>
      <c r="H232" s="3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33"/>
      <c r="B233" s="33"/>
      <c r="C233" s="67"/>
      <c r="D233" s="167"/>
      <c r="E233" s="67"/>
      <c r="F233" s="67"/>
      <c r="G233" s="67"/>
      <c r="H233" s="3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33"/>
      <c r="B234" s="33"/>
      <c r="C234" s="67"/>
      <c r="D234" s="167"/>
      <c r="E234" s="67"/>
      <c r="F234" s="67"/>
      <c r="G234" s="67"/>
      <c r="H234" s="3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33"/>
      <c r="B235" s="33"/>
      <c r="C235" s="67"/>
      <c r="D235" s="167"/>
      <c r="E235" s="67"/>
      <c r="F235" s="67"/>
      <c r="G235" s="67"/>
      <c r="H235" s="3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33"/>
      <c r="B236" s="33"/>
      <c r="C236" s="67"/>
      <c r="D236" s="167"/>
      <c r="E236" s="67"/>
      <c r="F236" s="67"/>
      <c r="G236" s="67"/>
      <c r="H236" s="3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33"/>
      <c r="B237" s="33"/>
      <c r="C237" s="67"/>
      <c r="D237" s="167"/>
      <c r="E237" s="67"/>
      <c r="F237" s="67"/>
      <c r="G237" s="67"/>
      <c r="H237" s="3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33"/>
      <c r="B238" s="33"/>
      <c r="C238" s="67"/>
      <c r="D238" s="167"/>
      <c r="E238" s="67"/>
      <c r="F238" s="67"/>
      <c r="G238" s="67"/>
      <c r="H238" s="3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33"/>
      <c r="B239" s="33"/>
      <c r="C239" s="67"/>
      <c r="D239" s="167"/>
      <c r="E239" s="67"/>
      <c r="F239" s="67"/>
      <c r="G239" s="67"/>
      <c r="H239" s="3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33"/>
      <c r="B240" s="33"/>
      <c r="C240" s="67"/>
      <c r="D240" s="167"/>
      <c r="E240" s="67"/>
      <c r="F240" s="67"/>
      <c r="G240" s="67"/>
      <c r="H240" s="3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33"/>
      <c r="B241" s="33"/>
      <c r="C241" s="67"/>
      <c r="D241" s="167"/>
      <c r="E241" s="67"/>
      <c r="F241" s="67"/>
      <c r="G241" s="67"/>
      <c r="H241" s="3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33"/>
      <c r="B242" s="33"/>
      <c r="C242" s="67"/>
      <c r="D242" s="167"/>
      <c r="E242" s="67"/>
      <c r="F242" s="67"/>
      <c r="G242" s="67"/>
      <c r="H242" s="3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33"/>
      <c r="B243" s="33"/>
      <c r="C243" s="67"/>
      <c r="D243" s="167"/>
      <c r="E243" s="67"/>
      <c r="F243" s="67"/>
      <c r="G243" s="67"/>
      <c r="H243" s="3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33"/>
      <c r="B244" s="33"/>
      <c r="C244" s="67"/>
      <c r="D244" s="167"/>
      <c r="E244" s="67"/>
      <c r="F244" s="67"/>
      <c r="G244" s="67"/>
      <c r="H244" s="3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33"/>
      <c r="B245" s="33"/>
      <c r="C245" s="67"/>
      <c r="D245" s="167"/>
      <c r="E245" s="67"/>
      <c r="F245" s="67"/>
      <c r="G245" s="67"/>
      <c r="H245" s="3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33"/>
      <c r="B246" s="33"/>
      <c r="C246" s="67"/>
      <c r="D246" s="167"/>
      <c r="E246" s="67"/>
      <c r="F246" s="67"/>
      <c r="G246" s="67"/>
      <c r="H246" s="3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33"/>
      <c r="B247" s="33"/>
      <c r="C247" s="67"/>
      <c r="D247" s="167"/>
      <c r="E247" s="67"/>
      <c r="F247" s="67"/>
      <c r="G247" s="67"/>
      <c r="H247" s="3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33"/>
      <c r="B248" s="33"/>
      <c r="C248" s="67"/>
      <c r="D248" s="167"/>
      <c r="E248" s="67"/>
      <c r="F248" s="67"/>
      <c r="G248" s="67"/>
      <c r="H248" s="3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33"/>
      <c r="B249" s="33"/>
      <c r="C249" s="67"/>
      <c r="D249" s="167"/>
      <c r="E249" s="67"/>
      <c r="F249" s="67"/>
      <c r="G249" s="67"/>
      <c r="H249" s="3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33"/>
      <c r="B250" s="33"/>
      <c r="C250" s="67"/>
      <c r="D250" s="167"/>
      <c r="E250" s="67"/>
      <c r="F250" s="67"/>
      <c r="G250" s="67"/>
      <c r="H250" s="3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33"/>
      <c r="B251" s="33"/>
      <c r="C251" s="67"/>
      <c r="D251" s="167"/>
      <c r="E251" s="67"/>
      <c r="F251" s="67"/>
      <c r="G251" s="67"/>
      <c r="H251" s="3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33"/>
      <c r="B252" s="33"/>
      <c r="C252" s="67"/>
      <c r="D252" s="167"/>
      <c r="E252" s="67"/>
      <c r="F252" s="67"/>
      <c r="G252" s="67"/>
      <c r="H252" s="3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33"/>
      <c r="B253" s="33"/>
      <c r="C253" s="67"/>
      <c r="D253" s="167"/>
      <c r="E253" s="67"/>
      <c r="F253" s="67"/>
      <c r="G253" s="67"/>
      <c r="H253" s="3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33"/>
      <c r="B254" s="33"/>
      <c r="C254" s="67"/>
      <c r="D254" s="167"/>
      <c r="E254" s="67"/>
      <c r="F254" s="67"/>
      <c r="G254" s="67"/>
      <c r="H254" s="3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33"/>
      <c r="B255" s="33"/>
      <c r="C255" s="67"/>
      <c r="D255" s="167"/>
      <c r="E255" s="67"/>
      <c r="F255" s="67"/>
      <c r="G255" s="67"/>
      <c r="H255" s="3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33"/>
      <c r="B256" s="33"/>
      <c r="C256" s="67"/>
      <c r="D256" s="167"/>
      <c r="E256" s="67"/>
      <c r="F256" s="67"/>
      <c r="G256" s="67"/>
      <c r="H256" s="3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33"/>
      <c r="B257" s="33"/>
      <c r="C257" s="67"/>
      <c r="D257" s="167"/>
      <c r="E257" s="67"/>
      <c r="F257" s="67"/>
      <c r="G257" s="67"/>
      <c r="H257" s="3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33"/>
      <c r="B258" s="33"/>
      <c r="C258" s="67"/>
      <c r="D258" s="167"/>
      <c r="E258" s="67"/>
      <c r="F258" s="67"/>
      <c r="G258" s="67"/>
      <c r="H258" s="3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33"/>
      <c r="B259" s="33"/>
      <c r="C259" s="67"/>
      <c r="D259" s="167"/>
      <c r="E259" s="67"/>
      <c r="F259" s="67"/>
      <c r="G259" s="67"/>
      <c r="H259" s="3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33"/>
      <c r="B260" s="33"/>
      <c r="C260" s="67"/>
      <c r="D260" s="167"/>
      <c r="E260" s="67"/>
      <c r="F260" s="67"/>
      <c r="G260" s="67"/>
      <c r="H260" s="3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33"/>
      <c r="B261" s="33"/>
      <c r="C261" s="67"/>
      <c r="D261" s="167"/>
      <c r="E261" s="67"/>
      <c r="F261" s="67"/>
      <c r="G261" s="67"/>
      <c r="H261" s="3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33"/>
      <c r="B262" s="33"/>
      <c r="C262" s="67"/>
      <c r="D262" s="167"/>
      <c r="E262" s="67"/>
      <c r="F262" s="67"/>
      <c r="G262" s="67"/>
      <c r="H262" s="3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33"/>
      <c r="B263" s="33"/>
      <c r="C263" s="67"/>
      <c r="D263" s="167"/>
      <c r="E263" s="67"/>
      <c r="F263" s="67"/>
      <c r="G263" s="67"/>
      <c r="H263" s="3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33"/>
      <c r="B264" s="33"/>
      <c r="C264" s="67"/>
      <c r="D264" s="167"/>
      <c r="E264" s="67"/>
      <c r="F264" s="67"/>
      <c r="G264" s="67"/>
      <c r="H264" s="3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33"/>
      <c r="B265" s="33"/>
      <c r="C265" s="67"/>
      <c r="D265" s="167"/>
      <c r="E265" s="67"/>
      <c r="F265" s="67"/>
      <c r="G265" s="67"/>
      <c r="H265" s="3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33"/>
      <c r="B266" s="33"/>
      <c r="C266" s="67"/>
      <c r="D266" s="167"/>
      <c r="E266" s="67"/>
      <c r="F266" s="67"/>
      <c r="G266" s="67"/>
      <c r="H266" s="3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33"/>
      <c r="B267" s="33"/>
      <c r="C267" s="67"/>
      <c r="D267" s="167"/>
      <c r="E267" s="67"/>
      <c r="F267" s="67"/>
      <c r="G267" s="67"/>
      <c r="H267" s="3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33"/>
      <c r="B268" s="33"/>
      <c r="C268" s="67"/>
      <c r="D268" s="167"/>
      <c r="E268" s="67"/>
      <c r="F268" s="67"/>
      <c r="G268" s="67"/>
      <c r="H268" s="3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33"/>
      <c r="B269" s="33"/>
      <c r="C269" s="67"/>
      <c r="D269" s="167"/>
      <c r="E269" s="67"/>
      <c r="F269" s="67"/>
      <c r="G269" s="67"/>
      <c r="H269" s="3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33"/>
      <c r="B270" s="33"/>
      <c r="C270" s="67"/>
      <c r="D270" s="167"/>
      <c r="E270" s="67"/>
      <c r="F270" s="67"/>
      <c r="G270" s="67"/>
      <c r="H270" s="3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33"/>
      <c r="B271" s="33"/>
      <c r="C271" s="67"/>
      <c r="D271" s="167"/>
      <c r="E271" s="67"/>
      <c r="F271" s="67"/>
      <c r="G271" s="67"/>
      <c r="H271" s="3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33"/>
      <c r="B272" s="33"/>
      <c r="C272" s="67"/>
      <c r="D272" s="167"/>
      <c r="E272" s="67"/>
      <c r="F272" s="67"/>
      <c r="G272" s="67"/>
      <c r="H272" s="3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33"/>
      <c r="B273" s="33"/>
      <c r="C273" s="67"/>
      <c r="D273" s="167"/>
      <c r="E273" s="67"/>
      <c r="F273" s="67"/>
      <c r="G273" s="67"/>
      <c r="H273" s="3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33"/>
      <c r="B274" s="33"/>
      <c r="C274" s="67"/>
      <c r="D274" s="167"/>
      <c r="E274" s="67"/>
      <c r="F274" s="67"/>
      <c r="G274" s="67"/>
      <c r="H274" s="3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33"/>
      <c r="B275" s="33"/>
      <c r="C275" s="67"/>
      <c r="D275" s="167"/>
      <c r="E275" s="67"/>
      <c r="F275" s="67"/>
      <c r="G275" s="67"/>
      <c r="H275" s="3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33"/>
      <c r="B276" s="33"/>
      <c r="C276" s="67"/>
      <c r="D276" s="167"/>
      <c r="E276" s="67"/>
      <c r="F276" s="67"/>
      <c r="G276" s="67"/>
      <c r="H276" s="3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33"/>
      <c r="B277" s="33"/>
      <c r="C277" s="67"/>
      <c r="D277" s="167"/>
      <c r="E277" s="67"/>
      <c r="F277" s="67"/>
      <c r="G277" s="67"/>
      <c r="H277" s="3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33"/>
      <c r="B278" s="33"/>
      <c r="C278" s="67"/>
      <c r="D278" s="167"/>
      <c r="E278" s="67"/>
      <c r="F278" s="67"/>
      <c r="G278" s="67"/>
      <c r="H278" s="3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33"/>
      <c r="B279" s="33"/>
      <c r="C279" s="67"/>
      <c r="D279" s="167"/>
      <c r="E279" s="67"/>
      <c r="F279" s="67"/>
      <c r="G279" s="67"/>
      <c r="H279" s="3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33"/>
      <c r="B280" s="33"/>
      <c r="C280" s="67"/>
      <c r="D280" s="167"/>
      <c r="E280" s="67"/>
      <c r="F280" s="67"/>
      <c r="G280" s="67"/>
      <c r="H280" s="3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33"/>
      <c r="B281" s="33"/>
      <c r="C281" s="67"/>
      <c r="D281" s="167"/>
      <c r="E281" s="67"/>
      <c r="F281" s="67"/>
      <c r="G281" s="67"/>
      <c r="H281" s="3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33"/>
      <c r="B282" s="33"/>
      <c r="C282" s="67"/>
      <c r="D282" s="167"/>
      <c r="E282" s="67"/>
      <c r="F282" s="67"/>
      <c r="G282" s="67"/>
      <c r="H282" s="3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33"/>
      <c r="B283" s="33"/>
      <c r="C283" s="67"/>
      <c r="D283" s="167"/>
      <c r="E283" s="67"/>
      <c r="F283" s="67"/>
      <c r="G283" s="67"/>
      <c r="H283" s="3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33"/>
      <c r="B284" s="33"/>
      <c r="C284" s="67"/>
      <c r="D284" s="167"/>
      <c r="E284" s="67"/>
      <c r="F284" s="67"/>
      <c r="G284" s="67"/>
      <c r="H284" s="3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33"/>
      <c r="B285" s="33"/>
      <c r="C285" s="67"/>
      <c r="D285" s="167"/>
      <c r="E285" s="67"/>
      <c r="F285" s="67"/>
      <c r="G285" s="67"/>
      <c r="H285" s="3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33"/>
      <c r="B286" s="33"/>
      <c r="C286" s="67"/>
      <c r="D286" s="167"/>
      <c r="E286" s="67"/>
      <c r="F286" s="67"/>
      <c r="G286" s="67"/>
      <c r="H286" s="3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33"/>
      <c r="B287" s="33"/>
      <c r="C287" s="67"/>
      <c r="D287" s="167"/>
      <c r="E287" s="67"/>
      <c r="F287" s="67"/>
      <c r="G287" s="67"/>
      <c r="H287" s="3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33"/>
      <c r="B288" s="33"/>
      <c r="C288" s="67"/>
      <c r="D288" s="167"/>
      <c r="E288" s="67"/>
      <c r="F288" s="67"/>
      <c r="G288" s="67"/>
      <c r="H288" s="3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33"/>
      <c r="B289" s="33"/>
      <c r="C289" s="67"/>
      <c r="D289" s="167"/>
      <c r="E289" s="67"/>
      <c r="F289" s="67"/>
      <c r="G289" s="67"/>
      <c r="H289" s="3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33"/>
      <c r="B290" s="33"/>
      <c r="C290" s="67"/>
      <c r="D290" s="167"/>
      <c r="E290" s="67"/>
      <c r="F290" s="67"/>
      <c r="G290" s="67"/>
      <c r="H290" s="3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33"/>
      <c r="B291" s="33"/>
      <c r="C291" s="67"/>
      <c r="D291" s="167"/>
      <c r="E291" s="67"/>
      <c r="F291" s="67"/>
      <c r="G291" s="67"/>
      <c r="H291" s="3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33"/>
      <c r="B292" s="33"/>
      <c r="C292" s="67"/>
      <c r="D292" s="167"/>
      <c r="E292" s="67"/>
      <c r="F292" s="67"/>
      <c r="G292" s="67"/>
      <c r="H292" s="3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33"/>
      <c r="B293" s="33"/>
      <c r="C293" s="67"/>
      <c r="D293" s="167"/>
      <c r="E293" s="67"/>
      <c r="F293" s="67"/>
      <c r="G293" s="67"/>
      <c r="H293" s="3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33"/>
      <c r="B294" s="33"/>
      <c r="C294" s="67"/>
      <c r="D294" s="167"/>
      <c r="E294" s="67"/>
      <c r="F294" s="67"/>
      <c r="G294" s="67"/>
      <c r="H294" s="3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33"/>
      <c r="B295" s="33"/>
      <c r="C295" s="67"/>
      <c r="D295" s="167"/>
      <c r="E295" s="67"/>
      <c r="F295" s="67"/>
      <c r="G295" s="67"/>
      <c r="H295" s="3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33"/>
      <c r="B296" s="33"/>
      <c r="C296" s="67"/>
      <c r="D296" s="167"/>
      <c r="E296" s="67"/>
      <c r="F296" s="67"/>
      <c r="G296" s="67"/>
      <c r="H296" s="3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33"/>
      <c r="B297" s="33"/>
      <c r="C297" s="67"/>
      <c r="D297" s="167"/>
      <c r="E297" s="67"/>
      <c r="F297" s="67"/>
      <c r="G297" s="67"/>
      <c r="H297" s="3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33"/>
      <c r="B298" s="33"/>
      <c r="C298" s="67"/>
      <c r="D298" s="167"/>
      <c r="E298" s="67"/>
      <c r="F298" s="67"/>
      <c r="G298" s="67"/>
      <c r="H298" s="3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33"/>
      <c r="B299" s="33"/>
      <c r="C299" s="67"/>
      <c r="D299" s="167"/>
      <c r="E299" s="67"/>
      <c r="F299" s="67"/>
      <c r="G299" s="67"/>
      <c r="H299" s="3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33"/>
      <c r="B300" s="33"/>
      <c r="C300" s="67"/>
      <c r="D300" s="167"/>
      <c r="E300" s="67"/>
      <c r="F300" s="67"/>
      <c r="G300" s="67"/>
      <c r="H300" s="3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33"/>
      <c r="B301" s="33"/>
      <c r="C301" s="67"/>
      <c r="D301" s="167"/>
      <c r="E301" s="67"/>
      <c r="F301" s="67"/>
      <c r="G301" s="67"/>
      <c r="H301" s="3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33"/>
      <c r="B302" s="33"/>
      <c r="C302" s="67"/>
      <c r="D302" s="167"/>
      <c r="E302" s="67"/>
      <c r="F302" s="67"/>
      <c r="G302" s="67"/>
      <c r="H302" s="3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33"/>
      <c r="B303" s="33"/>
      <c r="C303" s="67"/>
      <c r="D303" s="167"/>
      <c r="E303" s="67"/>
      <c r="F303" s="67"/>
      <c r="G303" s="67"/>
      <c r="H303" s="3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33"/>
      <c r="B304" s="33"/>
      <c r="C304" s="67"/>
      <c r="D304" s="167"/>
      <c r="E304" s="67"/>
      <c r="F304" s="67"/>
      <c r="G304" s="67"/>
      <c r="H304" s="3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33"/>
      <c r="B305" s="33"/>
      <c r="C305" s="67"/>
      <c r="D305" s="167"/>
      <c r="E305" s="67"/>
      <c r="F305" s="67"/>
      <c r="G305" s="67"/>
      <c r="H305" s="3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33"/>
      <c r="B306" s="33"/>
      <c r="C306" s="67"/>
      <c r="D306" s="167"/>
      <c r="E306" s="67"/>
      <c r="F306" s="67"/>
      <c r="G306" s="67"/>
      <c r="H306" s="3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33"/>
      <c r="B307" s="33"/>
      <c r="C307" s="67"/>
      <c r="D307" s="167"/>
      <c r="E307" s="67"/>
      <c r="F307" s="67"/>
      <c r="G307" s="67"/>
      <c r="H307" s="3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33"/>
      <c r="B308" s="33"/>
      <c r="C308" s="67"/>
      <c r="D308" s="167"/>
      <c r="E308" s="67"/>
      <c r="F308" s="67"/>
      <c r="G308" s="67"/>
      <c r="H308" s="3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33"/>
      <c r="B309" s="33"/>
      <c r="C309" s="67"/>
      <c r="D309" s="167"/>
      <c r="E309" s="67"/>
      <c r="F309" s="67"/>
      <c r="G309" s="67"/>
      <c r="H309" s="3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33"/>
      <c r="B310" s="33"/>
      <c r="C310" s="67"/>
      <c r="D310" s="167"/>
      <c r="E310" s="67"/>
      <c r="F310" s="67"/>
      <c r="G310" s="67"/>
      <c r="H310" s="3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33"/>
      <c r="B311" s="33"/>
      <c r="C311" s="67"/>
      <c r="D311" s="167"/>
      <c r="E311" s="67"/>
      <c r="F311" s="67"/>
      <c r="G311" s="67"/>
      <c r="H311" s="3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33"/>
      <c r="B312" s="33"/>
      <c r="C312" s="67"/>
      <c r="D312" s="167"/>
      <c r="E312" s="67"/>
      <c r="F312" s="67"/>
      <c r="G312" s="67"/>
      <c r="H312" s="3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33"/>
      <c r="B313" s="33"/>
      <c r="C313" s="67"/>
      <c r="D313" s="167"/>
      <c r="E313" s="67"/>
      <c r="F313" s="67"/>
      <c r="G313" s="67"/>
      <c r="H313" s="3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33"/>
      <c r="B314" s="33"/>
      <c r="C314" s="67"/>
      <c r="D314" s="167"/>
      <c r="E314" s="67"/>
      <c r="F314" s="67"/>
      <c r="G314" s="67"/>
      <c r="H314" s="3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33"/>
      <c r="B315" s="33"/>
      <c r="C315" s="67"/>
      <c r="D315" s="167"/>
      <c r="E315" s="67"/>
      <c r="F315" s="67"/>
      <c r="G315" s="67"/>
      <c r="H315" s="3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33"/>
      <c r="B316" s="33"/>
      <c r="C316" s="67"/>
      <c r="D316" s="167"/>
      <c r="E316" s="67"/>
      <c r="F316" s="67"/>
      <c r="G316" s="67"/>
      <c r="H316" s="3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33"/>
      <c r="B317" s="33"/>
      <c r="C317" s="67"/>
      <c r="D317" s="167"/>
      <c r="E317" s="67"/>
      <c r="F317" s="67"/>
      <c r="G317" s="67"/>
      <c r="H317" s="3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33"/>
      <c r="B318" s="33"/>
      <c r="C318" s="67"/>
      <c r="D318" s="167"/>
      <c r="E318" s="67"/>
      <c r="F318" s="67"/>
      <c r="G318" s="67"/>
      <c r="H318" s="3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33"/>
      <c r="B319" s="33"/>
      <c r="C319" s="67"/>
      <c r="D319" s="167"/>
      <c r="E319" s="67"/>
      <c r="F319" s="67"/>
      <c r="G319" s="67"/>
      <c r="H319" s="3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33"/>
      <c r="B320" s="33"/>
      <c r="C320" s="67"/>
      <c r="D320" s="167"/>
      <c r="E320" s="67"/>
      <c r="F320" s="67"/>
      <c r="G320" s="67"/>
      <c r="H320" s="3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33"/>
      <c r="B321" s="33"/>
      <c r="C321" s="67"/>
      <c r="D321" s="167"/>
      <c r="E321" s="67"/>
      <c r="F321" s="67"/>
      <c r="G321" s="67"/>
      <c r="H321" s="3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33"/>
      <c r="B322" s="33"/>
      <c r="C322" s="67"/>
      <c r="D322" s="167"/>
      <c r="E322" s="67"/>
      <c r="F322" s="67"/>
      <c r="G322" s="67"/>
      <c r="H322" s="3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33"/>
      <c r="B323" s="33"/>
      <c r="C323" s="67"/>
      <c r="D323" s="167"/>
      <c r="E323" s="67"/>
      <c r="F323" s="67"/>
      <c r="G323" s="67"/>
      <c r="H323" s="3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33"/>
      <c r="B324" s="33"/>
      <c r="C324" s="67"/>
      <c r="D324" s="167"/>
      <c r="E324" s="67"/>
      <c r="F324" s="67"/>
      <c r="G324" s="67"/>
      <c r="H324" s="3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33"/>
      <c r="B325" s="33"/>
      <c r="C325" s="67"/>
      <c r="D325" s="167"/>
      <c r="E325" s="67"/>
      <c r="F325" s="67"/>
      <c r="G325" s="67"/>
      <c r="H325" s="3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33"/>
      <c r="B326" s="33"/>
      <c r="C326" s="67"/>
      <c r="D326" s="167"/>
      <c r="E326" s="67"/>
      <c r="F326" s="67"/>
      <c r="G326" s="67"/>
      <c r="H326" s="3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33"/>
      <c r="B327" s="33"/>
      <c r="C327" s="67"/>
      <c r="D327" s="167"/>
      <c r="E327" s="67"/>
      <c r="F327" s="67"/>
      <c r="G327" s="67"/>
      <c r="H327" s="3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33"/>
      <c r="B328" s="33"/>
      <c r="C328" s="67"/>
      <c r="D328" s="167"/>
      <c r="E328" s="67"/>
      <c r="F328" s="67"/>
      <c r="G328" s="67"/>
      <c r="H328" s="3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33"/>
      <c r="B329" s="33"/>
      <c r="C329" s="67"/>
      <c r="D329" s="167"/>
      <c r="E329" s="67"/>
      <c r="F329" s="67"/>
      <c r="G329" s="67"/>
      <c r="H329" s="3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33"/>
      <c r="B330" s="33"/>
      <c r="C330" s="67"/>
      <c r="D330" s="167"/>
      <c r="E330" s="67"/>
      <c r="F330" s="67"/>
      <c r="G330" s="67"/>
      <c r="H330" s="3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33"/>
      <c r="B331" s="33"/>
      <c r="C331" s="67"/>
      <c r="D331" s="167"/>
      <c r="E331" s="67"/>
      <c r="F331" s="67"/>
      <c r="G331" s="67"/>
      <c r="H331" s="3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33"/>
      <c r="B332" s="33"/>
      <c r="C332" s="67"/>
      <c r="D332" s="167"/>
      <c r="E332" s="67"/>
      <c r="F332" s="67"/>
      <c r="G332" s="67"/>
      <c r="H332" s="3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33"/>
      <c r="B333" s="33"/>
      <c r="C333" s="67"/>
      <c r="D333" s="167"/>
      <c r="E333" s="67"/>
      <c r="F333" s="67"/>
      <c r="G333" s="67"/>
      <c r="H333" s="3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33"/>
      <c r="B334" s="33"/>
      <c r="C334" s="67"/>
      <c r="D334" s="167"/>
      <c r="E334" s="67"/>
      <c r="F334" s="67"/>
      <c r="G334" s="67"/>
      <c r="H334" s="3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33"/>
      <c r="B335" s="33"/>
      <c r="C335" s="67"/>
      <c r="D335" s="167"/>
      <c r="E335" s="67"/>
      <c r="F335" s="67"/>
      <c r="G335" s="67"/>
      <c r="H335" s="3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33"/>
      <c r="B336" s="33"/>
      <c r="C336" s="67"/>
      <c r="D336" s="167"/>
      <c r="E336" s="67"/>
      <c r="F336" s="67"/>
      <c r="G336" s="67"/>
      <c r="H336" s="3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33"/>
      <c r="B337" s="33"/>
      <c r="C337" s="67"/>
      <c r="D337" s="167"/>
      <c r="E337" s="67"/>
      <c r="F337" s="67"/>
      <c r="G337" s="67"/>
      <c r="H337" s="3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33"/>
      <c r="B338" s="33"/>
      <c r="C338" s="67"/>
      <c r="D338" s="167"/>
      <c r="E338" s="67"/>
      <c r="F338" s="67"/>
      <c r="G338" s="67"/>
      <c r="H338" s="3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33"/>
      <c r="B339" s="33"/>
      <c r="C339" s="67"/>
      <c r="D339" s="167"/>
      <c r="E339" s="67"/>
      <c r="F339" s="67"/>
      <c r="G339" s="67"/>
      <c r="H339" s="3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33"/>
      <c r="B340" s="33"/>
      <c r="C340" s="67"/>
      <c r="D340" s="167"/>
      <c r="E340" s="67"/>
      <c r="F340" s="67"/>
      <c r="G340" s="67"/>
      <c r="H340" s="3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33"/>
      <c r="B341" s="33"/>
      <c r="C341" s="67"/>
      <c r="D341" s="167"/>
      <c r="E341" s="67"/>
      <c r="F341" s="67"/>
      <c r="G341" s="67"/>
      <c r="H341" s="3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33"/>
      <c r="B342" s="33"/>
      <c r="C342" s="67"/>
      <c r="D342" s="167"/>
      <c r="E342" s="67"/>
      <c r="F342" s="67"/>
      <c r="G342" s="67"/>
      <c r="H342" s="3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33"/>
      <c r="B343" s="33"/>
      <c r="C343" s="67"/>
      <c r="D343" s="167"/>
      <c r="E343" s="67"/>
      <c r="F343" s="67"/>
      <c r="G343" s="67"/>
      <c r="H343" s="3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33"/>
      <c r="B344" s="33"/>
      <c r="C344" s="67"/>
      <c r="D344" s="167"/>
      <c r="E344" s="67"/>
      <c r="F344" s="67"/>
      <c r="G344" s="67"/>
      <c r="H344" s="3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33"/>
      <c r="B345" s="33"/>
      <c r="C345" s="67"/>
      <c r="D345" s="167"/>
      <c r="E345" s="67"/>
      <c r="F345" s="67"/>
      <c r="G345" s="67"/>
      <c r="H345" s="3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33"/>
      <c r="B346" s="33"/>
      <c r="C346" s="67"/>
      <c r="D346" s="167"/>
      <c r="E346" s="67"/>
      <c r="F346" s="67"/>
      <c r="G346" s="67"/>
      <c r="H346" s="3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33"/>
      <c r="B347" s="33"/>
      <c r="C347" s="67"/>
      <c r="D347" s="167"/>
      <c r="E347" s="67"/>
      <c r="F347" s="67"/>
      <c r="G347" s="67"/>
      <c r="H347" s="3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33"/>
      <c r="B348" s="33"/>
      <c r="C348" s="67"/>
      <c r="D348" s="167"/>
      <c r="E348" s="67"/>
      <c r="F348" s="67"/>
      <c r="G348" s="67"/>
      <c r="H348" s="3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33"/>
      <c r="B349" s="33"/>
      <c r="C349" s="67"/>
      <c r="D349" s="167"/>
      <c r="E349" s="67"/>
      <c r="F349" s="67"/>
      <c r="G349" s="67"/>
      <c r="H349" s="3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33"/>
      <c r="B350" s="33"/>
      <c r="C350" s="67"/>
      <c r="D350" s="167"/>
      <c r="E350" s="67"/>
      <c r="F350" s="67"/>
      <c r="G350" s="67"/>
      <c r="H350" s="3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33"/>
      <c r="B351" s="33"/>
      <c r="C351" s="67"/>
      <c r="D351" s="167"/>
      <c r="E351" s="67"/>
      <c r="F351" s="67"/>
      <c r="G351" s="67"/>
      <c r="H351" s="3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33"/>
      <c r="B352" s="33"/>
      <c r="C352" s="67"/>
      <c r="D352" s="167"/>
      <c r="E352" s="67"/>
      <c r="F352" s="67"/>
      <c r="G352" s="67"/>
      <c r="H352" s="3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33"/>
      <c r="B353" s="33"/>
      <c r="C353" s="67"/>
      <c r="D353" s="167"/>
      <c r="E353" s="67"/>
      <c r="F353" s="67"/>
      <c r="G353" s="67"/>
      <c r="H353" s="3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33"/>
      <c r="B354" s="33"/>
      <c r="C354" s="67"/>
      <c r="D354" s="167"/>
      <c r="E354" s="67"/>
      <c r="F354" s="67"/>
      <c r="G354" s="67"/>
      <c r="H354" s="3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33"/>
      <c r="B355" s="33"/>
      <c r="C355" s="67"/>
      <c r="D355" s="167"/>
      <c r="E355" s="67"/>
      <c r="F355" s="67"/>
      <c r="G355" s="67"/>
      <c r="H355" s="3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33"/>
      <c r="B356" s="33"/>
      <c r="C356" s="67"/>
      <c r="D356" s="167"/>
      <c r="E356" s="67"/>
      <c r="F356" s="67"/>
      <c r="G356" s="67"/>
      <c r="H356" s="3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33"/>
      <c r="B357" s="33"/>
      <c r="C357" s="67"/>
      <c r="D357" s="167"/>
      <c r="E357" s="67"/>
      <c r="F357" s="67"/>
      <c r="G357" s="67"/>
      <c r="H357" s="3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33"/>
      <c r="B358" s="33"/>
      <c r="C358" s="67"/>
      <c r="D358" s="167"/>
      <c r="E358" s="67"/>
      <c r="F358" s="67"/>
      <c r="G358" s="67"/>
      <c r="H358" s="3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33"/>
      <c r="B359" s="33"/>
      <c r="C359" s="67"/>
      <c r="D359" s="167"/>
      <c r="E359" s="67"/>
      <c r="F359" s="67"/>
      <c r="G359" s="67"/>
      <c r="H359" s="3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33"/>
      <c r="B360" s="33"/>
      <c r="C360" s="67"/>
      <c r="D360" s="167"/>
      <c r="E360" s="67"/>
      <c r="F360" s="67"/>
      <c r="G360" s="67"/>
      <c r="H360" s="3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33"/>
      <c r="B361" s="33"/>
      <c r="C361" s="67"/>
      <c r="D361" s="167"/>
      <c r="E361" s="67"/>
      <c r="F361" s="67"/>
      <c r="G361" s="67"/>
      <c r="H361" s="3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33"/>
      <c r="B362" s="33"/>
      <c r="C362" s="67"/>
      <c r="D362" s="167"/>
      <c r="E362" s="67"/>
      <c r="F362" s="67"/>
      <c r="G362" s="67"/>
      <c r="H362" s="3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33"/>
      <c r="B363" s="33"/>
      <c r="C363" s="67"/>
      <c r="D363" s="167"/>
      <c r="E363" s="67"/>
      <c r="F363" s="67"/>
      <c r="G363" s="67"/>
      <c r="H363" s="3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33"/>
      <c r="B364" s="33"/>
      <c r="C364" s="67"/>
      <c r="D364" s="167"/>
      <c r="E364" s="67"/>
      <c r="F364" s="67"/>
      <c r="G364" s="67"/>
      <c r="H364" s="3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33"/>
      <c r="B365" s="33"/>
      <c r="C365" s="67"/>
      <c r="D365" s="167"/>
      <c r="E365" s="67"/>
      <c r="F365" s="67"/>
      <c r="G365" s="67"/>
      <c r="H365" s="3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33"/>
      <c r="B366" s="33"/>
      <c r="C366" s="67"/>
      <c r="D366" s="167"/>
      <c r="E366" s="67"/>
      <c r="F366" s="67"/>
      <c r="G366" s="67"/>
      <c r="H366" s="3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33"/>
      <c r="B367" s="33"/>
      <c r="C367" s="67"/>
      <c r="D367" s="167"/>
      <c r="E367" s="67"/>
      <c r="F367" s="67"/>
      <c r="G367" s="67"/>
      <c r="H367" s="3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33"/>
      <c r="B368" s="33"/>
      <c r="C368" s="67"/>
      <c r="D368" s="167"/>
      <c r="E368" s="67"/>
      <c r="F368" s="67"/>
      <c r="G368" s="67"/>
      <c r="H368" s="3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33"/>
      <c r="B369" s="33"/>
      <c r="C369" s="67"/>
      <c r="D369" s="167"/>
      <c r="E369" s="67"/>
      <c r="F369" s="67"/>
      <c r="G369" s="67"/>
      <c r="H369" s="3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33"/>
      <c r="B370" s="33"/>
      <c r="C370" s="67"/>
      <c r="D370" s="167"/>
      <c r="E370" s="67"/>
      <c r="F370" s="67"/>
      <c r="G370" s="67"/>
      <c r="H370" s="3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33"/>
      <c r="B371" s="33"/>
      <c r="C371" s="67"/>
      <c r="D371" s="167"/>
      <c r="E371" s="67"/>
      <c r="F371" s="67"/>
      <c r="G371" s="67"/>
      <c r="H371" s="3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33"/>
      <c r="B372" s="33"/>
      <c r="C372" s="67"/>
      <c r="D372" s="167"/>
      <c r="E372" s="67"/>
      <c r="F372" s="67"/>
      <c r="G372" s="67"/>
      <c r="H372" s="3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33"/>
      <c r="B373" s="33"/>
      <c r="C373" s="67"/>
      <c r="D373" s="167"/>
      <c r="E373" s="67"/>
      <c r="F373" s="67"/>
      <c r="G373" s="67"/>
      <c r="H373" s="3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33"/>
      <c r="B374" s="33"/>
      <c r="C374" s="67"/>
      <c r="D374" s="167"/>
      <c r="E374" s="67"/>
      <c r="F374" s="67"/>
      <c r="G374" s="67"/>
      <c r="H374" s="3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33"/>
      <c r="B375" s="33"/>
      <c r="C375" s="67"/>
      <c r="D375" s="167"/>
      <c r="E375" s="67"/>
      <c r="F375" s="67"/>
      <c r="G375" s="67"/>
      <c r="H375" s="3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33"/>
      <c r="B376" s="33"/>
      <c r="C376" s="67"/>
      <c r="D376" s="167"/>
      <c r="E376" s="67"/>
      <c r="F376" s="67"/>
      <c r="G376" s="67"/>
      <c r="H376" s="3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33"/>
      <c r="B377" s="33"/>
      <c r="C377" s="67"/>
      <c r="D377" s="167"/>
      <c r="E377" s="67"/>
      <c r="F377" s="67"/>
      <c r="G377" s="67"/>
      <c r="H377" s="3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33"/>
      <c r="B378" s="33"/>
      <c r="C378" s="67"/>
      <c r="D378" s="167"/>
      <c r="E378" s="67"/>
      <c r="F378" s="67"/>
      <c r="G378" s="67"/>
      <c r="H378" s="3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33"/>
      <c r="B379" s="33"/>
      <c r="C379" s="67"/>
      <c r="D379" s="167"/>
      <c r="E379" s="67"/>
      <c r="F379" s="67"/>
      <c r="G379" s="67"/>
      <c r="H379" s="3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33"/>
      <c r="B380" s="33"/>
      <c r="C380" s="67"/>
      <c r="D380" s="167"/>
      <c r="E380" s="67"/>
      <c r="F380" s="67"/>
      <c r="G380" s="67"/>
      <c r="H380" s="3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33"/>
      <c r="B381" s="33"/>
      <c r="C381" s="67"/>
      <c r="D381" s="167"/>
      <c r="E381" s="67"/>
      <c r="F381" s="67"/>
      <c r="G381" s="67"/>
      <c r="H381" s="3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33"/>
      <c r="B382" s="33"/>
      <c r="C382" s="67"/>
      <c r="D382" s="167"/>
      <c r="E382" s="67"/>
      <c r="F382" s="67"/>
      <c r="G382" s="67"/>
      <c r="H382" s="3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33"/>
      <c r="B383" s="33"/>
      <c r="C383" s="67"/>
      <c r="D383" s="167"/>
      <c r="E383" s="67"/>
      <c r="F383" s="67"/>
      <c r="G383" s="67"/>
      <c r="H383" s="3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33"/>
      <c r="B384" s="33"/>
      <c r="C384" s="67"/>
      <c r="D384" s="167"/>
      <c r="E384" s="67"/>
      <c r="F384" s="67"/>
      <c r="G384" s="67"/>
      <c r="H384" s="3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33"/>
      <c r="B385" s="33"/>
      <c r="C385" s="67"/>
      <c r="D385" s="167"/>
      <c r="E385" s="67"/>
      <c r="F385" s="67"/>
      <c r="G385" s="67"/>
      <c r="H385" s="3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33"/>
      <c r="B386" s="33"/>
      <c r="C386" s="67"/>
      <c r="D386" s="167"/>
      <c r="E386" s="67"/>
      <c r="F386" s="67"/>
      <c r="G386" s="67"/>
      <c r="H386" s="3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33"/>
      <c r="B387" s="33"/>
      <c r="C387" s="67"/>
      <c r="D387" s="167"/>
      <c r="E387" s="67"/>
      <c r="F387" s="67"/>
      <c r="G387" s="67"/>
      <c r="H387" s="3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33"/>
      <c r="B388" s="33"/>
      <c r="C388" s="67"/>
      <c r="D388" s="167"/>
      <c r="E388" s="67"/>
      <c r="F388" s="67"/>
      <c r="G388" s="67"/>
      <c r="H388" s="3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33"/>
      <c r="B389" s="33"/>
      <c r="C389" s="67"/>
      <c r="D389" s="167"/>
      <c r="E389" s="67"/>
      <c r="F389" s="67"/>
      <c r="G389" s="67"/>
      <c r="H389" s="3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33"/>
      <c r="B390" s="33"/>
      <c r="C390" s="67"/>
      <c r="D390" s="167"/>
      <c r="E390" s="67"/>
      <c r="F390" s="67"/>
      <c r="G390" s="67"/>
      <c r="H390" s="3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33"/>
      <c r="B391" s="33"/>
      <c r="C391" s="67"/>
      <c r="D391" s="167"/>
      <c r="E391" s="67"/>
      <c r="F391" s="67"/>
      <c r="G391" s="67"/>
      <c r="H391" s="3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33"/>
      <c r="B392" s="33"/>
      <c r="C392" s="67"/>
      <c r="D392" s="167"/>
      <c r="E392" s="67"/>
      <c r="F392" s="67"/>
      <c r="G392" s="67"/>
      <c r="H392" s="3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33"/>
      <c r="B393" s="33"/>
      <c r="C393" s="67"/>
      <c r="D393" s="167"/>
      <c r="E393" s="67"/>
      <c r="F393" s="67"/>
      <c r="G393" s="67"/>
      <c r="H393" s="3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33"/>
      <c r="B394" s="33"/>
      <c r="C394" s="67"/>
      <c r="D394" s="167"/>
      <c r="E394" s="67"/>
      <c r="F394" s="67"/>
      <c r="G394" s="67"/>
      <c r="H394" s="3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33"/>
      <c r="B395" s="33"/>
      <c r="C395" s="67"/>
      <c r="D395" s="167"/>
      <c r="E395" s="67"/>
      <c r="F395" s="67"/>
      <c r="G395" s="67"/>
      <c r="H395" s="3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33"/>
      <c r="B396" s="33"/>
      <c r="C396" s="67"/>
      <c r="D396" s="167"/>
      <c r="E396" s="67"/>
      <c r="F396" s="67"/>
      <c r="G396" s="67"/>
      <c r="H396" s="3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33"/>
      <c r="B397" s="33"/>
      <c r="C397" s="67"/>
      <c r="D397" s="167"/>
      <c r="E397" s="67"/>
      <c r="F397" s="67"/>
      <c r="G397" s="67"/>
      <c r="H397" s="3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33"/>
      <c r="B398" s="33"/>
      <c r="C398" s="67"/>
      <c r="D398" s="167"/>
      <c r="E398" s="67"/>
      <c r="F398" s="67"/>
      <c r="G398" s="67"/>
      <c r="H398" s="3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33"/>
      <c r="B399" s="33"/>
      <c r="C399" s="67"/>
      <c r="D399" s="167"/>
      <c r="E399" s="67"/>
      <c r="F399" s="67"/>
      <c r="G399" s="67"/>
      <c r="H399" s="3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33"/>
      <c r="B400" s="33"/>
      <c r="C400" s="67"/>
      <c r="D400" s="167"/>
      <c r="E400" s="67"/>
      <c r="F400" s="67"/>
      <c r="G400" s="67"/>
      <c r="H400" s="3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33"/>
      <c r="B401" s="33"/>
      <c r="C401" s="67"/>
      <c r="D401" s="167"/>
      <c r="E401" s="67"/>
      <c r="F401" s="67"/>
      <c r="G401" s="67"/>
      <c r="H401" s="3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33"/>
      <c r="B402" s="33"/>
      <c r="C402" s="67"/>
      <c r="D402" s="167"/>
      <c r="E402" s="67"/>
      <c r="F402" s="67"/>
      <c r="G402" s="67"/>
      <c r="H402" s="3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33"/>
      <c r="B403" s="33"/>
      <c r="C403" s="67"/>
      <c r="D403" s="167"/>
      <c r="E403" s="67"/>
      <c r="F403" s="67"/>
      <c r="G403" s="67"/>
      <c r="H403" s="3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33"/>
      <c r="B404" s="33"/>
      <c r="C404" s="67"/>
      <c r="D404" s="167"/>
      <c r="E404" s="67"/>
      <c r="F404" s="67"/>
      <c r="G404" s="67"/>
      <c r="H404" s="3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33"/>
      <c r="B405" s="33"/>
      <c r="C405" s="67"/>
      <c r="D405" s="167"/>
      <c r="E405" s="67"/>
      <c r="F405" s="67"/>
      <c r="G405" s="67"/>
      <c r="H405" s="3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33"/>
      <c r="B406" s="33"/>
      <c r="C406" s="67"/>
      <c r="D406" s="167"/>
      <c r="E406" s="67"/>
      <c r="F406" s="67"/>
      <c r="G406" s="67"/>
      <c r="H406" s="3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33"/>
      <c r="B407" s="33"/>
      <c r="C407" s="67"/>
      <c r="D407" s="167"/>
      <c r="E407" s="67"/>
      <c r="F407" s="67"/>
      <c r="G407" s="67"/>
      <c r="H407" s="3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33"/>
      <c r="B408" s="33"/>
      <c r="C408" s="67"/>
      <c r="D408" s="167"/>
      <c r="E408" s="67"/>
      <c r="F408" s="67"/>
      <c r="G408" s="67"/>
      <c r="H408" s="3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33"/>
      <c r="B409" s="33"/>
      <c r="C409" s="67"/>
      <c r="D409" s="167"/>
      <c r="E409" s="67"/>
      <c r="F409" s="67"/>
      <c r="G409" s="67"/>
      <c r="H409" s="3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33"/>
      <c r="B410" s="33"/>
      <c r="C410" s="67"/>
      <c r="D410" s="167"/>
      <c r="E410" s="67"/>
      <c r="F410" s="67"/>
      <c r="G410" s="67"/>
      <c r="H410" s="3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33"/>
      <c r="B411" s="33"/>
      <c r="C411" s="67"/>
      <c r="D411" s="167"/>
      <c r="E411" s="67"/>
      <c r="F411" s="67"/>
      <c r="G411" s="67"/>
      <c r="H411" s="3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33"/>
      <c r="B412" s="33"/>
      <c r="C412" s="67"/>
      <c r="D412" s="167"/>
      <c r="E412" s="67"/>
      <c r="F412" s="67"/>
      <c r="G412" s="67"/>
      <c r="H412" s="3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33"/>
      <c r="B413" s="33"/>
      <c r="C413" s="67"/>
      <c r="D413" s="167"/>
      <c r="E413" s="67"/>
      <c r="F413" s="67"/>
      <c r="G413" s="67"/>
      <c r="H413" s="3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33"/>
      <c r="B414" s="33"/>
      <c r="C414" s="67"/>
      <c r="D414" s="167"/>
      <c r="E414" s="67"/>
      <c r="F414" s="67"/>
      <c r="G414" s="67"/>
      <c r="H414" s="3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33"/>
      <c r="B415" s="33"/>
      <c r="C415" s="67"/>
      <c r="D415" s="167"/>
      <c r="E415" s="67"/>
      <c r="F415" s="67"/>
      <c r="G415" s="67"/>
      <c r="H415" s="3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33"/>
      <c r="B416" s="33"/>
      <c r="C416" s="67"/>
      <c r="D416" s="167"/>
      <c r="E416" s="67"/>
      <c r="F416" s="67"/>
      <c r="G416" s="67"/>
      <c r="H416" s="3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33"/>
      <c r="B417" s="33"/>
      <c r="C417" s="67"/>
      <c r="D417" s="167"/>
      <c r="E417" s="67"/>
      <c r="F417" s="67"/>
      <c r="G417" s="67"/>
      <c r="H417" s="3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33"/>
      <c r="B418" s="33"/>
      <c r="C418" s="67"/>
      <c r="D418" s="167"/>
      <c r="E418" s="67"/>
      <c r="F418" s="67"/>
      <c r="G418" s="67"/>
      <c r="H418" s="3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33"/>
      <c r="B419" s="33"/>
      <c r="C419" s="67"/>
      <c r="D419" s="167"/>
      <c r="E419" s="67"/>
      <c r="F419" s="67"/>
      <c r="G419" s="67"/>
      <c r="H419" s="3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33"/>
      <c r="B420" s="33"/>
      <c r="C420" s="67"/>
      <c r="D420" s="167"/>
      <c r="E420" s="67"/>
      <c r="F420" s="67"/>
      <c r="G420" s="67"/>
      <c r="H420" s="3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33"/>
      <c r="B421" s="33"/>
      <c r="C421" s="67"/>
      <c r="D421" s="167"/>
      <c r="E421" s="67"/>
      <c r="F421" s="67"/>
      <c r="G421" s="67"/>
      <c r="H421" s="3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33"/>
      <c r="B422" s="33"/>
      <c r="C422" s="67"/>
      <c r="D422" s="167"/>
      <c r="E422" s="67"/>
      <c r="F422" s="67"/>
      <c r="G422" s="67"/>
      <c r="H422" s="3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33"/>
      <c r="B423" s="33"/>
      <c r="C423" s="67"/>
      <c r="D423" s="167"/>
      <c r="E423" s="67"/>
      <c r="F423" s="67"/>
      <c r="G423" s="67"/>
      <c r="H423" s="3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33"/>
      <c r="B424" s="33"/>
      <c r="C424" s="67"/>
      <c r="D424" s="167"/>
      <c r="E424" s="67"/>
      <c r="F424" s="67"/>
      <c r="G424" s="67"/>
      <c r="H424" s="3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33"/>
      <c r="B425" s="33"/>
      <c r="C425" s="67"/>
      <c r="D425" s="167"/>
      <c r="E425" s="67"/>
      <c r="F425" s="67"/>
      <c r="G425" s="67"/>
      <c r="H425" s="3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33"/>
      <c r="B426" s="33"/>
      <c r="C426" s="67"/>
      <c r="D426" s="167"/>
      <c r="E426" s="67"/>
      <c r="F426" s="67"/>
      <c r="G426" s="67"/>
      <c r="H426" s="3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33"/>
      <c r="B427" s="33"/>
      <c r="C427" s="67"/>
      <c r="D427" s="167"/>
      <c r="E427" s="67"/>
      <c r="F427" s="67"/>
      <c r="G427" s="67"/>
      <c r="H427" s="3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33"/>
      <c r="B428" s="33"/>
      <c r="C428" s="67"/>
      <c r="D428" s="167"/>
      <c r="E428" s="67"/>
      <c r="F428" s="67"/>
      <c r="G428" s="67"/>
      <c r="H428" s="3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33"/>
      <c r="B429" s="33"/>
      <c r="C429" s="67"/>
      <c r="D429" s="167"/>
      <c r="E429" s="67"/>
      <c r="F429" s="67"/>
      <c r="G429" s="67"/>
      <c r="H429" s="3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33"/>
      <c r="B430" s="33"/>
      <c r="C430" s="67"/>
      <c r="D430" s="167"/>
      <c r="E430" s="67"/>
      <c r="F430" s="67"/>
      <c r="G430" s="67"/>
      <c r="H430" s="3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33"/>
      <c r="B431" s="33"/>
      <c r="C431" s="67"/>
      <c r="D431" s="167"/>
      <c r="E431" s="67"/>
      <c r="F431" s="67"/>
      <c r="G431" s="67"/>
      <c r="H431" s="3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33"/>
      <c r="B432" s="33"/>
      <c r="C432" s="67"/>
      <c r="D432" s="167"/>
      <c r="E432" s="67"/>
      <c r="F432" s="67"/>
      <c r="G432" s="67"/>
      <c r="H432" s="3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33"/>
      <c r="B433" s="33"/>
      <c r="C433" s="67"/>
      <c r="D433" s="167"/>
      <c r="E433" s="67"/>
      <c r="F433" s="67"/>
      <c r="G433" s="67"/>
      <c r="H433" s="3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33"/>
      <c r="B434" s="33"/>
      <c r="C434" s="67"/>
      <c r="D434" s="167"/>
      <c r="E434" s="67"/>
      <c r="F434" s="67"/>
      <c r="G434" s="67"/>
      <c r="H434" s="3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33"/>
      <c r="B435" s="33"/>
      <c r="C435" s="67"/>
      <c r="D435" s="167"/>
      <c r="E435" s="67"/>
      <c r="F435" s="67"/>
      <c r="G435" s="67"/>
      <c r="H435" s="3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33"/>
      <c r="B436" s="33"/>
      <c r="C436" s="67"/>
      <c r="D436" s="167"/>
      <c r="E436" s="67"/>
      <c r="F436" s="67"/>
      <c r="G436" s="67"/>
      <c r="H436" s="3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33"/>
      <c r="B437" s="33"/>
      <c r="C437" s="67"/>
      <c r="D437" s="167"/>
      <c r="E437" s="67"/>
      <c r="F437" s="67"/>
      <c r="G437" s="67"/>
      <c r="H437" s="3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33"/>
      <c r="B438" s="33"/>
      <c r="C438" s="67"/>
      <c r="D438" s="167"/>
      <c r="E438" s="67"/>
      <c r="F438" s="67"/>
      <c r="G438" s="67"/>
      <c r="H438" s="3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33"/>
      <c r="B439" s="33"/>
      <c r="C439" s="67"/>
      <c r="D439" s="167"/>
      <c r="E439" s="67"/>
      <c r="F439" s="67"/>
      <c r="G439" s="67"/>
      <c r="H439" s="3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33"/>
      <c r="B440" s="33"/>
      <c r="C440" s="67"/>
      <c r="D440" s="167"/>
      <c r="E440" s="67"/>
      <c r="F440" s="67"/>
      <c r="G440" s="67"/>
      <c r="H440" s="3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33"/>
      <c r="B441" s="33"/>
      <c r="C441" s="67"/>
      <c r="D441" s="167"/>
      <c r="E441" s="67"/>
      <c r="F441" s="67"/>
      <c r="G441" s="67"/>
      <c r="H441" s="3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33"/>
      <c r="B442" s="33"/>
      <c r="C442" s="67"/>
      <c r="D442" s="167"/>
      <c r="E442" s="67"/>
      <c r="F442" s="67"/>
      <c r="G442" s="67"/>
      <c r="H442" s="3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33"/>
      <c r="B443" s="33"/>
      <c r="C443" s="67"/>
      <c r="D443" s="167"/>
      <c r="E443" s="67"/>
      <c r="F443" s="67"/>
      <c r="G443" s="67"/>
      <c r="H443" s="3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33"/>
      <c r="B444" s="33"/>
      <c r="C444" s="67"/>
      <c r="D444" s="167"/>
      <c r="E444" s="67"/>
      <c r="F444" s="67"/>
      <c r="G444" s="67"/>
      <c r="H444" s="3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33"/>
      <c r="B445" s="33"/>
      <c r="C445" s="67"/>
      <c r="D445" s="167"/>
      <c r="E445" s="67"/>
      <c r="F445" s="67"/>
      <c r="G445" s="67"/>
      <c r="H445" s="3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33"/>
      <c r="B446" s="33"/>
      <c r="C446" s="67"/>
      <c r="D446" s="167"/>
      <c r="E446" s="67"/>
      <c r="F446" s="67"/>
      <c r="G446" s="67"/>
      <c r="H446" s="3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33"/>
      <c r="B447" s="33"/>
      <c r="C447" s="67"/>
      <c r="D447" s="167"/>
      <c r="E447" s="67"/>
      <c r="F447" s="67"/>
      <c r="G447" s="67"/>
      <c r="H447" s="3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33"/>
      <c r="B448" s="33"/>
      <c r="C448" s="67"/>
      <c r="D448" s="167"/>
      <c r="E448" s="67"/>
      <c r="F448" s="67"/>
      <c r="G448" s="67"/>
      <c r="H448" s="3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33"/>
      <c r="B449" s="33"/>
      <c r="C449" s="67"/>
      <c r="D449" s="167"/>
      <c r="E449" s="67"/>
      <c r="F449" s="67"/>
      <c r="G449" s="67"/>
      <c r="H449" s="3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33"/>
      <c r="B450" s="33"/>
      <c r="C450" s="67"/>
      <c r="D450" s="167"/>
      <c r="E450" s="67"/>
      <c r="F450" s="67"/>
      <c r="G450" s="67"/>
      <c r="H450" s="3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33"/>
      <c r="B451" s="33"/>
      <c r="C451" s="67"/>
      <c r="D451" s="167"/>
      <c r="E451" s="67"/>
      <c r="F451" s="67"/>
      <c r="G451" s="67"/>
      <c r="H451" s="3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33"/>
      <c r="B452" s="33"/>
      <c r="C452" s="67"/>
      <c r="D452" s="167"/>
      <c r="E452" s="67"/>
      <c r="F452" s="67"/>
      <c r="G452" s="67"/>
      <c r="H452" s="3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33"/>
      <c r="B453" s="33"/>
      <c r="C453" s="67"/>
      <c r="D453" s="167"/>
      <c r="E453" s="67"/>
      <c r="F453" s="67"/>
      <c r="G453" s="67"/>
      <c r="H453" s="3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33"/>
      <c r="B454" s="33"/>
      <c r="C454" s="67"/>
      <c r="D454" s="167"/>
      <c r="E454" s="67"/>
      <c r="F454" s="67"/>
      <c r="G454" s="67"/>
      <c r="H454" s="3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33"/>
      <c r="B455" s="33"/>
      <c r="C455" s="67"/>
      <c r="D455" s="167"/>
      <c r="E455" s="67"/>
      <c r="F455" s="67"/>
      <c r="G455" s="67"/>
      <c r="H455" s="3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33"/>
      <c r="B456" s="33"/>
      <c r="C456" s="67"/>
      <c r="D456" s="167"/>
      <c r="E456" s="67"/>
      <c r="F456" s="67"/>
      <c r="G456" s="67"/>
      <c r="H456" s="3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33"/>
      <c r="B457" s="33"/>
      <c r="C457" s="67"/>
      <c r="D457" s="167"/>
      <c r="E457" s="67"/>
      <c r="F457" s="67"/>
      <c r="G457" s="67"/>
      <c r="H457" s="3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33"/>
      <c r="B458" s="33"/>
      <c r="C458" s="67"/>
      <c r="D458" s="167"/>
      <c r="E458" s="67"/>
      <c r="F458" s="67"/>
      <c r="G458" s="67"/>
      <c r="H458" s="3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33"/>
      <c r="B459" s="33"/>
      <c r="C459" s="67"/>
      <c r="D459" s="167"/>
      <c r="E459" s="67"/>
      <c r="F459" s="67"/>
      <c r="G459" s="67"/>
      <c r="H459" s="3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33"/>
      <c r="B460" s="33"/>
      <c r="C460" s="67"/>
      <c r="D460" s="167"/>
      <c r="E460" s="67"/>
      <c r="F460" s="67"/>
      <c r="G460" s="67"/>
      <c r="H460" s="3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33"/>
      <c r="B461" s="33"/>
      <c r="C461" s="67"/>
      <c r="D461" s="167"/>
      <c r="E461" s="67"/>
      <c r="F461" s="67"/>
      <c r="G461" s="67"/>
      <c r="H461" s="3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33"/>
      <c r="B462" s="33"/>
      <c r="C462" s="67"/>
      <c r="D462" s="167"/>
      <c r="E462" s="67"/>
      <c r="F462" s="67"/>
      <c r="G462" s="67"/>
      <c r="H462" s="3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33"/>
      <c r="B463" s="33"/>
      <c r="C463" s="67"/>
      <c r="D463" s="167"/>
      <c r="E463" s="67"/>
      <c r="F463" s="67"/>
      <c r="G463" s="67"/>
      <c r="H463" s="3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33"/>
      <c r="B464" s="33"/>
      <c r="C464" s="67"/>
      <c r="D464" s="167"/>
      <c r="E464" s="67"/>
      <c r="F464" s="67"/>
      <c r="G464" s="67"/>
      <c r="H464" s="3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33"/>
      <c r="B465" s="33"/>
      <c r="C465" s="67"/>
      <c r="D465" s="167"/>
      <c r="E465" s="67"/>
      <c r="F465" s="67"/>
      <c r="G465" s="67"/>
      <c r="H465" s="3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33"/>
      <c r="B466" s="33"/>
      <c r="C466" s="67"/>
      <c r="D466" s="167"/>
      <c r="E466" s="67"/>
      <c r="F466" s="67"/>
      <c r="G466" s="67"/>
      <c r="H466" s="3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33"/>
      <c r="B467" s="33"/>
      <c r="C467" s="67"/>
      <c r="D467" s="167"/>
      <c r="E467" s="67"/>
      <c r="F467" s="67"/>
      <c r="G467" s="67"/>
      <c r="H467" s="3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33"/>
      <c r="B468" s="33"/>
      <c r="C468" s="67"/>
      <c r="D468" s="167"/>
      <c r="E468" s="67"/>
      <c r="F468" s="67"/>
      <c r="G468" s="67"/>
      <c r="H468" s="3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33"/>
      <c r="B469" s="33"/>
      <c r="C469" s="67"/>
      <c r="D469" s="167"/>
      <c r="E469" s="67"/>
      <c r="F469" s="67"/>
      <c r="G469" s="67"/>
      <c r="H469" s="3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33"/>
      <c r="B470" s="33"/>
      <c r="C470" s="67"/>
      <c r="D470" s="167"/>
      <c r="E470" s="67"/>
      <c r="F470" s="67"/>
      <c r="G470" s="67"/>
      <c r="H470" s="3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33"/>
      <c r="B471" s="33"/>
      <c r="C471" s="67"/>
      <c r="D471" s="167"/>
      <c r="E471" s="67"/>
      <c r="F471" s="67"/>
      <c r="G471" s="67"/>
      <c r="H471" s="3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33"/>
      <c r="B472" s="33"/>
      <c r="C472" s="67"/>
      <c r="D472" s="167"/>
      <c r="E472" s="67"/>
      <c r="F472" s="67"/>
      <c r="G472" s="67"/>
      <c r="H472" s="3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33"/>
      <c r="B473" s="33"/>
      <c r="C473" s="67"/>
      <c r="D473" s="167"/>
      <c r="E473" s="67"/>
      <c r="F473" s="67"/>
      <c r="G473" s="67"/>
      <c r="H473" s="3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33"/>
      <c r="B474" s="33"/>
      <c r="C474" s="67"/>
      <c r="D474" s="167"/>
      <c r="E474" s="67"/>
      <c r="F474" s="67"/>
      <c r="G474" s="67"/>
      <c r="H474" s="3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33"/>
      <c r="B475" s="33"/>
      <c r="C475" s="67"/>
      <c r="D475" s="167"/>
      <c r="E475" s="67"/>
      <c r="F475" s="67"/>
      <c r="G475" s="67"/>
      <c r="H475" s="3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33"/>
      <c r="B476" s="33"/>
      <c r="C476" s="67"/>
      <c r="D476" s="167"/>
      <c r="E476" s="67"/>
      <c r="F476" s="67"/>
      <c r="G476" s="67"/>
      <c r="H476" s="3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33"/>
      <c r="B477" s="33"/>
      <c r="C477" s="67"/>
      <c r="D477" s="167"/>
      <c r="E477" s="67"/>
      <c r="F477" s="67"/>
      <c r="G477" s="67"/>
      <c r="H477" s="3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33"/>
      <c r="B478" s="33"/>
      <c r="C478" s="67"/>
      <c r="D478" s="167"/>
      <c r="E478" s="67"/>
      <c r="F478" s="67"/>
      <c r="G478" s="67"/>
      <c r="H478" s="3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33"/>
      <c r="B479" s="33"/>
      <c r="C479" s="67"/>
      <c r="D479" s="167"/>
      <c r="E479" s="67"/>
      <c r="F479" s="67"/>
      <c r="G479" s="67"/>
      <c r="H479" s="3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33"/>
      <c r="B480" s="33"/>
      <c r="C480" s="67"/>
      <c r="D480" s="167"/>
      <c r="E480" s="67"/>
      <c r="F480" s="67"/>
      <c r="G480" s="67"/>
      <c r="H480" s="3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33"/>
      <c r="B481" s="33"/>
      <c r="C481" s="67"/>
      <c r="D481" s="167"/>
      <c r="E481" s="67"/>
      <c r="F481" s="67"/>
      <c r="G481" s="67"/>
      <c r="H481" s="3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33"/>
      <c r="B482" s="33"/>
      <c r="C482" s="67"/>
      <c r="D482" s="167"/>
      <c r="E482" s="67"/>
      <c r="F482" s="67"/>
      <c r="G482" s="67"/>
      <c r="H482" s="3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33"/>
      <c r="B483" s="33"/>
      <c r="C483" s="67"/>
      <c r="D483" s="167"/>
      <c r="E483" s="67"/>
      <c r="F483" s="67"/>
      <c r="G483" s="67"/>
      <c r="H483" s="3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33"/>
      <c r="B484" s="33"/>
      <c r="C484" s="67"/>
      <c r="D484" s="167"/>
      <c r="E484" s="67"/>
      <c r="F484" s="67"/>
      <c r="G484" s="67"/>
      <c r="H484" s="3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33"/>
      <c r="B485" s="33"/>
      <c r="C485" s="67"/>
      <c r="D485" s="167"/>
      <c r="E485" s="67"/>
      <c r="F485" s="67"/>
      <c r="G485" s="67"/>
      <c r="H485" s="3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33"/>
      <c r="B486" s="33"/>
      <c r="C486" s="67"/>
      <c r="D486" s="167"/>
      <c r="E486" s="67"/>
      <c r="F486" s="67"/>
      <c r="G486" s="67"/>
      <c r="H486" s="3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33"/>
      <c r="B487" s="33"/>
      <c r="C487" s="67"/>
      <c r="D487" s="167"/>
      <c r="E487" s="67"/>
      <c r="F487" s="67"/>
      <c r="G487" s="67"/>
      <c r="H487" s="3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33"/>
      <c r="B488" s="33"/>
      <c r="C488" s="67"/>
      <c r="D488" s="167"/>
      <c r="E488" s="67"/>
      <c r="F488" s="67"/>
      <c r="G488" s="67"/>
      <c r="H488" s="3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33"/>
      <c r="B489" s="33"/>
      <c r="C489" s="67"/>
      <c r="D489" s="167"/>
      <c r="E489" s="67"/>
      <c r="F489" s="67"/>
      <c r="G489" s="67"/>
      <c r="H489" s="3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33"/>
      <c r="B490" s="33"/>
      <c r="C490" s="67"/>
      <c r="D490" s="167"/>
      <c r="E490" s="67"/>
      <c r="F490" s="67"/>
      <c r="G490" s="67"/>
      <c r="H490" s="3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33"/>
      <c r="B491" s="33"/>
      <c r="C491" s="67"/>
      <c r="D491" s="167"/>
      <c r="E491" s="67"/>
      <c r="F491" s="67"/>
      <c r="G491" s="67"/>
      <c r="H491" s="3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33"/>
      <c r="B492" s="33"/>
      <c r="C492" s="67"/>
      <c r="D492" s="167"/>
      <c r="E492" s="67"/>
      <c r="F492" s="67"/>
      <c r="G492" s="67"/>
      <c r="H492" s="3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33"/>
      <c r="B493" s="33"/>
      <c r="C493" s="67"/>
      <c r="D493" s="167"/>
      <c r="E493" s="67"/>
      <c r="F493" s="67"/>
      <c r="G493" s="67"/>
      <c r="H493" s="3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33"/>
      <c r="B494" s="33"/>
      <c r="C494" s="67"/>
      <c r="D494" s="167"/>
      <c r="E494" s="67"/>
      <c r="F494" s="67"/>
      <c r="G494" s="67"/>
      <c r="H494" s="3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33"/>
      <c r="B495" s="33"/>
      <c r="C495" s="67"/>
      <c r="D495" s="167"/>
      <c r="E495" s="67"/>
      <c r="F495" s="67"/>
      <c r="G495" s="67"/>
      <c r="H495" s="3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33"/>
      <c r="B496" s="33"/>
      <c r="C496" s="67"/>
      <c r="D496" s="167"/>
      <c r="E496" s="67"/>
      <c r="F496" s="67"/>
      <c r="G496" s="67"/>
      <c r="H496" s="3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33"/>
      <c r="B497" s="33"/>
      <c r="C497" s="67"/>
      <c r="D497" s="167"/>
      <c r="E497" s="67"/>
      <c r="F497" s="67"/>
      <c r="G497" s="67"/>
      <c r="H497" s="3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33"/>
      <c r="B498" s="33"/>
      <c r="C498" s="67"/>
      <c r="D498" s="167"/>
      <c r="E498" s="67"/>
      <c r="F498" s="67"/>
      <c r="G498" s="67"/>
      <c r="H498" s="3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33"/>
      <c r="B499" s="33"/>
      <c r="C499" s="67"/>
      <c r="D499" s="167"/>
      <c r="E499" s="67"/>
      <c r="F499" s="67"/>
      <c r="G499" s="67"/>
      <c r="H499" s="3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33"/>
      <c r="B500" s="33"/>
      <c r="C500" s="67"/>
      <c r="D500" s="167"/>
      <c r="E500" s="67"/>
      <c r="F500" s="67"/>
      <c r="G500" s="67"/>
      <c r="H500" s="3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33"/>
      <c r="B501" s="33"/>
      <c r="C501" s="67"/>
      <c r="D501" s="167"/>
      <c r="E501" s="67"/>
      <c r="F501" s="67"/>
      <c r="G501" s="67"/>
      <c r="H501" s="3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33"/>
      <c r="B502" s="33"/>
      <c r="C502" s="67"/>
      <c r="D502" s="167"/>
      <c r="E502" s="67"/>
      <c r="F502" s="67"/>
      <c r="G502" s="67"/>
      <c r="H502" s="3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33"/>
      <c r="B503" s="33"/>
      <c r="C503" s="67"/>
      <c r="D503" s="167"/>
      <c r="E503" s="67"/>
      <c r="F503" s="67"/>
      <c r="G503" s="67"/>
      <c r="H503" s="3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33"/>
      <c r="B504" s="33"/>
      <c r="C504" s="67"/>
      <c r="D504" s="167"/>
      <c r="E504" s="67"/>
      <c r="F504" s="67"/>
      <c r="G504" s="67"/>
      <c r="H504" s="3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33"/>
      <c r="B505" s="33"/>
      <c r="C505" s="67"/>
      <c r="D505" s="167"/>
      <c r="E505" s="67"/>
      <c r="F505" s="67"/>
      <c r="G505" s="67"/>
      <c r="H505" s="3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33"/>
      <c r="B506" s="33"/>
      <c r="C506" s="67"/>
      <c r="D506" s="167"/>
      <c r="E506" s="67"/>
      <c r="F506" s="67"/>
      <c r="G506" s="67"/>
      <c r="H506" s="3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33"/>
      <c r="B507" s="33"/>
      <c r="C507" s="67"/>
      <c r="D507" s="167"/>
      <c r="E507" s="67"/>
      <c r="F507" s="67"/>
      <c r="G507" s="67"/>
      <c r="H507" s="3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33"/>
      <c r="B508" s="33"/>
      <c r="C508" s="67"/>
      <c r="D508" s="167"/>
      <c r="E508" s="67"/>
      <c r="F508" s="67"/>
      <c r="G508" s="67"/>
      <c r="H508" s="3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33"/>
      <c r="B509" s="33"/>
      <c r="C509" s="67"/>
      <c r="D509" s="167"/>
      <c r="E509" s="67"/>
      <c r="F509" s="67"/>
      <c r="G509" s="67"/>
      <c r="H509" s="3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33"/>
      <c r="B510" s="33"/>
      <c r="C510" s="67"/>
      <c r="D510" s="167"/>
      <c r="E510" s="67"/>
      <c r="F510" s="67"/>
      <c r="G510" s="67"/>
      <c r="H510" s="3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33"/>
      <c r="B511" s="33"/>
      <c r="C511" s="67"/>
      <c r="D511" s="167"/>
      <c r="E511" s="67"/>
      <c r="F511" s="67"/>
      <c r="G511" s="67"/>
      <c r="H511" s="3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33"/>
      <c r="B512" s="33"/>
      <c r="C512" s="67"/>
      <c r="D512" s="167"/>
      <c r="E512" s="67"/>
      <c r="F512" s="67"/>
      <c r="G512" s="67"/>
      <c r="H512" s="3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33"/>
      <c r="B513" s="33"/>
      <c r="C513" s="67"/>
      <c r="D513" s="167"/>
      <c r="E513" s="67"/>
      <c r="F513" s="67"/>
      <c r="G513" s="67"/>
      <c r="H513" s="3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33"/>
      <c r="B514" s="33"/>
      <c r="C514" s="67"/>
      <c r="D514" s="167"/>
      <c r="E514" s="67"/>
      <c r="F514" s="67"/>
      <c r="G514" s="67"/>
      <c r="H514" s="3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33"/>
      <c r="B515" s="33"/>
      <c r="C515" s="67"/>
      <c r="D515" s="167"/>
      <c r="E515" s="67"/>
      <c r="F515" s="67"/>
      <c r="G515" s="67"/>
      <c r="H515" s="3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33"/>
      <c r="B516" s="33"/>
      <c r="C516" s="67"/>
      <c r="D516" s="167"/>
      <c r="E516" s="67"/>
      <c r="F516" s="67"/>
      <c r="G516" s="67"/>
      <c r="H516" s="3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33"/>
      <c r="B517" s="33"/>
      <c r="C517" s="67"/>
      <c r="D517" s="167"/>
      <c r="E517" s="67"/>
      <c r="F517" s="67"/>
      <c r="G517" s="67"/>
      <c r="H517" s="3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33"/>
      <c r="B518" s="33"/>
      <c r="C518" s="67"/>
      <c r="D518" s="167"/>
      <c r="E518" s="67"/>
      <c r="F518" s="67"/>
      <c r="G518" s="67"/>
      <c r="H518" s="3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33"/>
      <c r="B519" s="33"/>
      <c r="C519" s="67"/>
      <c r="D519" s="167"/>
      <c r="E519" s="67"/>
      <c r="F519" s="67"/>
      <c r="G519" s="67"/>
      <c r="H519" s="3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33"/>
      <c r="B520" s="33"/>
      <c r="C520" s="67"/>
      <c r="D520" s="167"/>
      <c r="E520" s="67"/>
      <c r="F520" s="67"/>
      <c r="G520" s="67"/>
      <c r="H520" s="3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33"/>
      <c r="B521" s="33"/>
      <c r="C521" s="67"/>
      <c r="D521" s="167"/>
      <c r="E521" s="67"/>
      <c r="F521" s="67"/>
      <c r="G521" s="67"/>
      <c r="H521" s="3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33"/>
      <c r="B522" s="33"/>
      <c r="C522" s="67"/>
      <c r="D522" s="167"/>
      <c r="E522" s="67"/>
      <c r="F522" s="67"/>
      <c r="G522" s="67"/>
      <c r="H522" s="3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33"/>
      <c r="B523" s="33"/>
      <c r="C523" s="67"/>
      <c r="D523" s="167"/>
      <c r="E523" s="67"/>
      <c r="F523" s="67"/>
      <c r="G523" s="67"/>
      <c r="H523" s="3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33"/>
      <c r="B524" s="33"/>
      <c r="C524" s="67"/>
      <c r="D524" s="167"/>
      <c r="E524" s="67"/>
      <c r="F524" s="67"/>
      <c r="G524" s="67"/>
      <c r="H524" s="3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33"/>
      <c r="B525" s="33"/>
      <c r="C525" s="67"/>
      <c r="D525" s="167"/>
      <c r="E525" s="67"/>
      <c r="F525" s="67"/>
      <c r="G525" s="67"/>
      <c r="H525" s="3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33"/>
      <c r="B526" s="33"/>
      <c r="C526" s="67"/>
      <c r="D526" s="167"/>
      <c r="E526" s="67"/>
      <c r="F526" s="67"/>
      <c r="G526" s="67"/>
      <c r="H526" s="3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33"/>
      <c r="B527" s="33"/>
      <c r="C527" s="67"/>
      <c r="D527" s="167"/>
      <c r="E527" s="67"/>
      <c r="F527" s="67"/>
      <c r="G527" s="67"/>
      <c r="H527" s="3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33"/>
      <c r="B528" s="33"/>
      <c r="C528" s="67"/>
      <c r="D528" s="167"/>
      <c r="E528" s="67"/>
      <c r="F528" s="67"/>
      <c r="G528" s="67"/>
      <c r="H528" s="3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33"/>
      <c r="B529" s="33"/>
      <c r="C529" s="67"/>
      <c r="D529" s="167"/>
      <c r="E529" s="67"/>
      <c r="F529" s="67"/>
      <c r="G529" s="67"/>
      <c r="H529" s="3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33"/>
      <c r="B530" s="33"/>
      <c r="C530" s="67"/>
      <c r="D530" s="167"/>
      <c r="E530" s="67"/>
      <c r="F530" s="67"/>
      <c r="G530" s="67"/>
      <c r="H530" s="3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33"/>
      <c r="B531" s="33"/>
      <c r="C531" s="67"/>
      <c r="D531" s="167"/>
      <c r="E531" s="67"/>
      <c r="F531" s="67"/>
      <c r="G531" s="67"/>
      <c r="H531" s="3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33"/>
      <c r="B532" s="33"/>
      <c r="C532" s="67"/>
      <c r="D532" s="167"/>
      <c r="E532" s="67"/>
      <c r="F532" s="67"/>
      <c r="G532" s="67"/>
      <c r="H532" s="3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33"/>
      <c r="B533" s="33"/>
      <c r="C533" s="67"/>
      <c r="D533" s="167"/>
      <c r="E533" s="67"/>
      <c r="F533" s="67"/>
      <c r="G533" s="67"/>
      <c r="H533" s="3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33"/>
      <c r="B534" s="33"/>
      <c r="C534" s="67"/>
      <c r="D534" s="167"/>
      <c r="E534" s="67"/>
      <c r="F534" s="67"/>
      <c r="G534" s="67"/>
      <c r="H534" s="3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33"/>
      <c r="B535" s="33"/>
      <c r="C535" s="67"/>
      <c r="D535" s="167"/>
      <c r="E535" s="67"/>
      <c r="F535" s="67"/>
      <c r="G535" s="67"/>
      <c r="H535" s="3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33"/>
      <c r="B536" s="33"/>
      <c r="C536" s="67"/>
      <c r="D536" s="167"/>
      <c r="E536" s="67"/>
      <c r="F536" s="67"/>
      <c r="G536" s="67"/>
      <c r="H536" s="3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33"/>
      <c r="B537" s="33"/>
      <c r="C537" s="67"/>
      <c r="D537" s="167"/>
      <c r="E537" s="67"/>
      <c r="F537" s="67"/>
      <c r="G537" s="67"/>
      <c r="H537" s="3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33"/>
      <c r="B538" s="33"/>
      <c r="C538" s="67"/>
      <c r="D538" s="167"/>
      <c r="E538" s="67"/>
      <c r="F538" s="67"/>
      <c r="G538" s="67"/>
      <c r="H538" s="3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33"/>
      <c r="B539" s="33"/>
      <c r="C539" s="67"/>
      <c r="D539" s="167"/>
      <c r="E539" s="67"/>
      <c r="F539" s="67"/>
      <c r="G539" s="67"/>
      <c r="H539" s="3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33"/>
      <c r="B540" s="33"/>
      <c r="C540" s="67"/>
      <c r="D540" s="167"/>
      <c r="E540" s="67"/>
      <c r="F540" s="67"/>
      <c r="G540" s="67"/>
      <c r="H540" s="3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33"/>
      <c r="B541" s="33"/>
      <c r="C541" s="67"/>
      <c r="D541" s="167"/>
      <c r="E541" s="67"/>
      <c r="F541" s="67"/>
      <c r="G541" s="67"/>
      <c r="H541" s="3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33"/>
      <c r="B542" s="33"/>
      <c r="C542" s="67"/>
      <c r="D542" s="167"/>
      <c r="E542" s="67"/>
      <c r="F542" s="67"/>
      <c r="G542" s="67"/>
      <c r="H542" s="3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33"/>
      <c r="B543" s="33"/>
      <c r="C543" s="67"/>
      <c r="D543" s="167"/>
      <c r="E543" s="67"/>
      <c r="F543" s="67"/>
      <c r="G543" s="67"/>
      <c r="H543" s="3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33"/>
      <c r="B544" s="33"/>
      <c r="C544" s="67"/>
      <c r="D544" s="167"/>
      <c r="E544" s="67"/>
      <c r="F544" s="67"/>
      <c r="G544" s="67"/>
      <c r="H544" s="3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33"/>
      <c r="B545" s="33"/>
      <c r="C545" s="67"/>
      <c r="D545" s="167"/>
      <c r="E545" s="67"/>
      <c r="F545" s="67"/>
      <c r="G545" s="67"/>
      <c r="H545" s="3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33"/>
      <c r="B546" s="33"/>
      <c r="C546" s="67"/>
      <c r="D546" s="167"/>
      <c r="E546" s="67"/>
      <c r="F546" s="67"/>
      <c r="G546" s="67"/>
      <c r="H546" s="3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33"/>
      <c r="B547" s="33"/>
      <c r="C547" s="67"/>
      <c r="D547" s="167"/>
      <c r="E547" s="67"/>
      <c r="F547" s="67"/>
      <c r="G547" s="67"/>
      <c r="H547" s="3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33"/>
      <c r="B548" s="33"/>
      <c r="C548" s="67"/>
      <c r="D548" s="167"/>
      <c r="E548" s="67"/>
      <c r="F548" s="67"/>
      <c r="G548" s="67"/>
      <c r="H548" s="3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33"/>
      <c r="B549" s="33"/>
      <c r="C549" s="67"/>
      <c r="D549" s="167"/>
      <c r="E549" s="67"/>
      <c r="F549" s="67"/>
      <c r="G549" s="67"/>
      <c r="H549" s="3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33"/>
      <c r="B550" s="33"/>
      <c r="C550" s="67"/>
      <c r="D550" s="167"/>
      <c r="E550" s="67"/>
      <c r="F550" s="67"/>
      <c r="G550" s="67"/>
      <c r="H550" s="3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33"/>
      <c r="B551" s="33"/>
      <c r="C551" s="67"/>
      <c r="D551" s="167"/>
      <c r="E551" s="67"/>
      <c r="F551" s="67"/>
      <c r="G551" s="67"/>
      <c r="H551" s="3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33"/>
      <c r="B552" s="33"/>
      <c r="C552" s="67"/>
      <c r="D552" s="167"/>
      <c r="E552" s="67"/>
      <c r="F552" s="67"/>
      <c r="G552" s="67"/>
      <c r="H552" s="3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33"/>
      <c r="B553" s="33"/>
      <c r="C553" s="67"/>
      <c r="D553" s="167"/>
      <c r="E553" s="67"/>
      <c r="F553" s="67"/>
      <c r="G553" s="67"/>
      <c r="H553" s="3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33"/>
      <c r="B554" s="33"/>
      <c r="C554" s="67"/>
      <c r="D554" s="167"/>
      <c r="E554" s="67"/>
      <c r="F554" s="67"/>
      <c r="G554" s="67"/>
      <c r="H554" s="3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33"/>
      <c r="B555" s="33"/>
      <c r="C555" s="67"/>
      <c r="D555" s="167"/>
      <c r="E555" s="67"/>
      <c r="F555" s="67"/>
      <c r="G555" s="67"/>
      <c r="H555" s="3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33"/>
      <c r="B556" s="33"/>
      <c r="C556" s="67"/>
      <c r="D556" s="167"/>
      <c r="E556" s="67"/>
      <c r="F556" s="67"/>
      <c r="G556" s="67"/>
      <c r="H556" s="3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33"/>
      <c r="B557" s="33"/>
      <c r="C557" s="67"/>
      <c r="D557" s="167"/>
      <c r="E557" s="67"/>
      <c r="F557" s="67"/>
      <c r="G557" s="67"/>
      <c r="H557" s="3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33"/>
      <c r="B558" s="33"/>
      <c r="C558" s="67"/>
      <c r="D558" s="167"/>
      <c r="E558" s="67"/>
      <c r="F558" s="67"/>
      <c r="G558" s="67"/>
      <c r="H558" s="3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33"/>
      <c r="B559" s="33"/>
      <c r="C559" s="67"/>
      <c r="D559" s="167"/>
      <c r="E559" s="67"/>
      <c r="F559" s="67"/>
      <c r="G559" s="67"/>
      <c r="H559" s="3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33"/>
      <c r="B560" s="33"/>
      <c r="C560" s="67"/>
      <c r="D560" s="167"/>
      <c r="E560" s="67"/>
      <c r="F560" s="67"/>
      <c r="G560" s="67"/>
      <c r="H560" s="3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33"/>
      <c r="B561" s="33"/>
      <c r="C561" s="67"/>
      <c r="D561" s="167"/>
      <c r="E561" s="67"/>
      <c r="F561" s="67"/>
      <c r="G561" s="67"/>
      <c r="H561" s="3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33"/>
      <c r="B562" s="33"/>
      <c r="C562" s="67"/>
      <c r="D562" s="167"/>
      <c r="E562" s="67"/>
      <c r="F562" s="67"/>
      <c r="G562" s="67"/>
      <c r="H562" s="3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33"/>
      <c r="B563" s="33"/>
      <c r="C563" s="67"/>
      <c r="D563" s="167"/>
      <c r="E563" s="67"/>
      <c r="F563" s="67"/>
      <c r="G563" s="67"/>
      <c r="H563" s="3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33"/>
      <c r="B564" s="33"/>
      <c r="C564" s="67"/>
      <c r="D564" s="167"/>
      <c r="E564" s="67"/>
      <c r="F564" s="67"/>
      <c r="G564" s="67"/>
      <c r="H564" s="3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33"/>
      <c r="B565" s="33"/>
      <c r="C565" s="67"/>
      <c r="D565" s="167"/>
      <c r="E565" s="67"/>
      <c r="F565" s="67"/>
      <c r="G565" s="67"/>
      <c r="H565" s="3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33"/>
      <c r="B566" s="33"/>
      <c r="C566" s="67"/>
      <c r="D566" s="167"/>
      <c r="E566" s="67"/>
      <c r="F566" s="67"/>
      <c r="G566" s="67"/>
      <c r="H566" s="3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33"/>
      <c r="B567" s="33"/>
      <c r="C567" s="67"/>
      <c r="D567" s="167"/>
      <c r="E567" s="67"/>
      <c r="F567" s="67"/>
      <c r="G567" s="67"/>
      <c r="H567" s="3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33"/>
      <c r="B568" s="33"/>
      <c r="C568" s="67"/>
      <c r="D568" s="167"/>
      <c r="E568" s="67"/>
      <c r="F568" s="67"/>
      <c r="G568" s="67"/>
      <c r="H568" s="3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33"/>
      <c r="B569" s="33"/>
      <c r="C569" s="67"/>
      <c r="D569" s="167"/>
      <c r="E569" s="67"/>
      <c r="F569" s="67"/>
      <c r="G569" s="67"/>
      <c r="H569" s="3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33"/>
      <c r="B570" s="33"/>
      <c r="C570" s="67"/>
      <c r="D570" s="167"/>
      <c r="E570" s="67"/>
      <c r="F570" s="67"/>
      <c r="G570" s="67"/>
      <c r="H570" s="3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33"/>
      <c r="B571" s="33"/>
      <c r="C571" s="67"/>
      <c r="D571" s="167"/>
      <c r="E571" s="67"/>
      <c r="F571" s="67"/>
      <c r="G571" s="67"/>
      <c r="H571" s="3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33"/>
      <c r="B572" s="33"/>
      <c r="C572" s="67"/>
      <c r="D572" s="167"/>
      <c r="E572" s="67"/>
      <c r="F572" s="67"/>
      <c r="G572" s="67"/>
      <c r="H572" s="3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33"/>
      <c r="B573" s="33"/>
      <c r="C573" s="67"/>
      <c r="D573" s="167"/>
      <c r="E573" s="67"/>
      <c r="F573" s="67"/>
      <c r="G573" s="67"/>
      <c r="H573" s="3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33"/>
      <c r="B574" s="33"/>
      <c r="C574" s="67"/>
      <c r="D574" s="167"/>
      <c r="E574" s="67"/>
      <c r="F574" s="67"/>
      <c r="G574" s="67"/>
      <c r="H574" s="3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33"/>
      <c r="B575" s="33"/>
      <c r="C575" s="67"/>
      <c r="D575" s="167"/>
      <c r="E575" s="67"/>
      <c r="F575" s="67"/>
      <c r="G575" s="67"/>
      <c r="H575" s="3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33"/>
      <c r="B576" s="33"/>
      <c r="C576" s="67"/>
      <c r="D576" s="167"/>
      <c r="E576" s="67"/>
      <c r="F576" s="67"/>
      <c r="G576" s="67"/>
      <c r="H576" s="3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33"/>
      <c r="B577" s="33"/>
      <c r="C577" s="67"/>
      <c r="D577" s="167"/>
      <c r="E577" s="67"/>
      <c r="F577" s="67"/>
      <c r="G577" s="67"/>
      <c r="H577" s="3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33"/>
      <c r="B578" s="33"/>
      <c r="C578" s="67"/>
      <c r="D578" s="167"/>
      <c r="E578" s="67"/>
      <c r="F578" s="67"/>
      <c r="G578" s="67"/>
      <c r="H578" s="3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33"/>
      <c r="B579" s="33"/>
      <c r="C579" s="67"/>
      <c r="D579" s="167"/>
      <c r="E579" s="67"/>
      <c r="F579" s="67"/>
      <c r="G579" s="67"/>
      <c r="H579" s="3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33"/>
      <c r="B580" s="33"/>
      <c r="C580" s="67"/>
      <c r="D580" s="167"/>
      <c r="E580" s="67"/>
      <c r="F580" s="67"/>
      <c r="G580" s="67"/>
      <c r="H580" s="3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33"/>
      <c r="B581" s="33"/>
      <c r="C581" s="67"/>
      <c r="D581" s="167"/>
      <c r="E581" s="67"/>
      <c r="F581" s="67"/>
      <c r="G581" s="67"/>
      <c r="H581" s="3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33"/>
      <c r="B582" s="33"/>
      <c r="C582" s="67"/>
      <c r="D582" s="167"/>
      <c r="E582" s="67"/>
      <c r="F582" s="67"/>
      <c r="G582" s="67"/>
      <c r="H582" s="3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33"/>
      <c r="B583" s="33"/>
      <c r="C583" s="67"/>
      <c r="D583" s="167"/>
      <c r="E583" s="67"/>
      <c r="F583" s="67"/>
      <c r="G583" s="67"/>
      <c r="H583" s="3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33"/>
      <c r="B584" s="33"/>
      <c r="C584" s="67"/>
      <c r="D584" s="167"/>
      <c r="E584" s="67"/>
      <c r="F584" s="67"/>
      <c r="G584" s="67"/>
      <c r="H584" s="3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33"/>
      <c r="B585" s="33"/>
      <c r="C585" s="67"/>
      <c r="D585" s="167"/>
      <c r="E585" s="67"/>
      <c r="F585" s="67"/>
      <c r="G585" s="67"/>
      <c r="H585" s="3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33"/>
      <c r="B586" s="33"/>
      <c r="C586" s="67"/>
      <c r="D586" s="167"/>
      <c r="E586" s="67"/>
      <c r="F586" s="67"/>
      <c r="G586" s="67"/>
      <c r="H586" s="3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33"/>
      <c r="B587" s="33"/>
      <c r="C587" s="67"/>
      <c r="D587" s="167"/>
      <c r="E587" s="67"/>
      <c r="F587" s="67"/>
      <c r="G587" s="67"/>
      <c r="H587" s="3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33"/>
      <c r="B588" s="33"/>
      <c r="C588" s="67"/>
      <c r="D588" s="167"/>
      <c r="E588" s="67"/>
      <c r="F588" s="67"/>
      <c r="G588" s="67"/>
      <c r="H588" s="3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33"/>
      <c r="B589" s="33"/>
      <c r="C589" s="67"/>
      <c r="D589" s="167"/>
      <c r="E589" s="67"/>
      <c r="F589" s="67"/>
      <c r="G589" s="67"/>
      <c r="H589" s="3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33"/>
      <c r="B590" s="33"/>
      <c r="C590" s="67"/>
      <c r="D590" s="167"/>
      <c r="E590" s="67"/>
      <c r="F590" s="67"/>
      <c r="G590" s="67"/>
      <c r="H590" s="3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33"/>
      <c r="B591" s="33"/>
      <c r="C591" s="67"/>
      <c r="D591" s="167"/>
      <c r="E591" s="67"/>
      <c r="F591" s="67"/>
      <c r="G591" s="67"/>
      <c r="H591" s="3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33"/>
      <c r="B592" s="33"/>
      <c r="C592" s="67"/>
      <c r="D592" s="167"/>
      <c r="E592" s="67"/>
      <c r="F592" s="67"/>
      <c r="G592" s="67"/>
      <c r="H592" s="3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33"/>
      <c r="B593" s="33"/>
      <c r="C593" s="67"/>
      <c r="D593" s="167"/>
      <c r="E593" s="67"/>
      <c r="F593" s="67"/>
      <c r="G593" s="67"/>
      <c r="H593" s="3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33"/>
      <c r="B594" s="33"/>
      <c r="C594" s="67"/>
      <c r="D594" s="167"/>
      <c r="E594" s="67"/>
      <c r="F594" s="67"/>
      <c r="G594" s="67"/>
      <c r="H594" s="3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33"/>
      <c r="B595" s="33"/>
      <c r="C595" s="67"/>
      <c r="D595" s="167"/>
      <c r="E595" s="67"/>
      <c r="F595" s="67"/>
      <c r="G595" s="67"/>
      <c r="H595" s="3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33"/>
      <c r="B596" s="33"/>
      <c r="C596" s="67"/>
      <c r="D596" s="167"/>
      <c r="E596" s="67"/>
      <c r="F596" s="67"/>
      <c r="G596" s="67"/>
      <c r="H596" s="3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33"/>
      <c r="B597" s="33"/>
      <c r="C597" s="67"/>
      <c r="D597" s="167"/>
      <c r="E597" s="67"/>
      <c r="F597" s="67"/>
      <c r="G597" s="67"/>
      <c r="H597" s="33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33"/>
      <c r="B598" s="33"/>
      <c r="C598" s="67"/>
      <c r="D598" s="167"/>
      <c r="E598" s="67"/>
      <c r="F598" s="67"/>
      <c r="G598" s="67"/>
      <c r="H598" s="33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33"/>
      <c r="B599" s="33"/>
      <c r="C599" s="67"/>
      <c r="D599" s="167"/>
      <c r="E599" s="67"/>
      <c r="F599" s="67"/>
      <c r="G599" s="67"/>
      <c r="H599" s="33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33"/>
      <c r="B600" s="33"/>
      <c r="C600" s="67"/>
      <c r="D600" s="167"/>
      <c r="E600" s="67"/>
      <c r="F600" s="67"/>
      <c r="G600" s="67"/>
      <c r="H600" s="33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33"/>
      <c r="B601" s="33"/>
      <c r="C601" s="67"/>
      <c r="D601" s="167"/>
      <c r="E601" s="67"/>
      <c r="F601" s="67"/>
      <c r="G601" s="67"/>
      <c r="H601" s="33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33"/>
      <c r="B602" s="33"/>
      <c r="C602" s="67"/>
      <c r="D602" s="167"/>
      <c r="E602" s="67"/>
      <c r="F602" s="67"/>
      <c r="G602" s="67"/>
      <c r="H602" s="33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33"/>
      <c r="B603" s="33"/>
      <c r="C603" s="67"/>
      <c r="D603" s="167"/>
      <c r="E603" s="67"/>
      <c r="F603" s="67"/>
      <c r="G603" s="67"/>
      <c r="H603" s="33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33"/>
      <c r="B604" s="33"/>
      <c r="C604" s="67"/>
      <c r="D604" s="167"/>
      <c r="E604" s="67"/>
      <c r="F604" s="67"/>
      <c r="G604" s="67"/>
      <c r="H604" s="33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33"/>
      <c r="B605" s="33"/>
      <c r="C605" s="67"/>
      <c r="D605" s="167"/>
      <c r="E605" s="67"/>
      <c r="F605" s="67"/>
      <c r="G605" s="67"/>
      <c r="H605" s="33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33"/>
      <c r="B606" s="33"/>
      <c r="C606" s="67"/>
      <c r="D606" s="167"/>
      <c r="E606" s="67"/>
      <c r="F606" s="67"/>
      <c r="G606" s="67"/>
      <c r="H606" s="33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33"/>
      <c r="B607" s="33"/>
      <c r="C607" s="67"/>
      <c r="D607" s="167"/>
      <c r="E607" s="67"/>
      <c r="F607" s="67"/>
      <c r="G607" s="67"/>
      <c r="H607" s="33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33"/>
      <c r="B608" s="33"/>
      <c r="C608" s="67"/>
      <c r="D608" s="167"/>
      <c r="E608" s="67"/>
      <c r="F608" s="67"/>
      <c r="G608" s="67"/>
      <c r="H608" s="33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33"/>
      <c r="B609" s="33"/>
      <c r="C609" s="67"/>
      <c r="D609" s="167"/>
      <c r="E609" s="67"/>
      <c r="F609" s="67"/>
      <c r="G609" s="67"/>
      <c r="H609" s="33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33"/>
      <c r="B610" s="33"/>
      <c r="C610" s="67"/>
      <c r="D610" s="167"/>
      <c r="E610" s="67"/>
      <c r="F610" s="67"/>
      <c r="G610" s="67"/>
      <c r="H610" s="33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33"/>
      <c r="B611" s="33"/>
      <c r="C611" s="67"/>
      <c r="D611" s="167"/>
      <c r="E611" s="67"/>
      <c r="F611" s="67"/>
      <c r="G611" s="67"/>
      <c r="H611" s="33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33"/>
      <c r="B612" s="33"/>
      <c r="C612" s="67"/>
      <c r="D612" s="167"/>
      <c r="E612" s="67"/>
      <c r="F612" s="67"/>
      <c r="G612" s="67"/>
      <c r="H612" s="33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33"/>
      <c r="B613" s="33"/>
      <c r="C613" s="67"/>
      <c r="D613" s="167"/>
      <c r="E613" s="67"/>
      <c r="F613" s="67"/>
      <c r="G613" s="67"/>
      <c r="H613" s="33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33"/>
      <c r="B614" s="33"/>
      <c r="C614" s="67"/>
      <c r="D614" s="167"/>
      <c r="E614" s="67"/>
      <c r="F614" s="67"/>
      <c r="G614" s="67"/>
      <c r="H614" s="33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33"/>
      <c r="B615" s="33"/>
      <c r="C615" s="67"/>
      <c r="D615" s="167"/>
      <c r="E615" s="67"/>
      <c r="F615" s="67"/>
      <c r="G615" s="67"/>
      <c r="H615" s="33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33"/>
      <c r="B616" s="33"/>
      <c r="C616" s="67"/>
      <c r="D616" s="167"/>
      <c r="E616" s="67"/>
      <c r="F616" s="67"/>
      <c r="G616" s="67"/>
      <c r="H616" s="33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33"/>
      <c r="B617" s="33"/>
      <c r="C617" s="67"/>
      <c r="D617" s="167"/>
      <c r="E617" s="67"/>
      <c r="F617" s="67"/>
      <c r="G617" s="67"/>
      <c r="H617" s="33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33"/>
      <c r="B618" s="33"/>
      <c r="C618" s="67"/>
      <c r="D618" s="167"/>
      <c r="E618" s="67"/>
      <c r="F618" s="67"/>
      <c r="G618" s="67"/>
      <c r="H618" s="33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33"/>
      <c r="B619" s="33"/>
      <c r="C619" s="67"/>
      <c r="D619" s="167"/>
      <c r="E619" s="67"/>
      <c r="F619" s="67"/>
      <c r="G619" s="67"/>
      <c r="H619" s="33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33"/>
      <c r="B620" s="33"/>
      <c r="C620" s="67"/>
      <c r="D620" s="167"/>
      <c r="E620" s="67"/>
      <c r="F620" s="67"/>
      <c r="G620" s="67"/>
      <c r="H620" s="33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33"/>
      <c r="B621" s="33"/>
      <c r="C621" s="67"/>
      <c r="D621" s="167"/>
      <c r="E621" s="67"/>
      <c r="F621" s="67"/>
      <c r="G621" s="67"/>
      <c r="H621" s="33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33"/>
      <c r="B622" s="33"/>
      <c r="C622" s="67"/>
      <c r="D622" s="167"/>
      <c r="E622" s="67"/>
      <c r="F622" s="67"/>
      <c r="G622" s="67"/>
      <c r="H622" s="33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33"/>
      <c r="B623" s="33"/>
      <c r="C623" s="67"/>
      <c r="D623" s="167"/>
      <c r="E623" s="67"/>
      <c r="F623" s="67"/>
      <c r="G623" s="67"/>
      <c r="H623" s="33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33"/>
      <c r="B624" s="33"/>
      <c r="C624" s="67"/>
      <c r="D624" s="167"/>
      <c r="E624" s="67"/>
      <c r="F624" s="67"/>
      <c r="G624" s="67"/>
      <c r="H624" s="33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33"/>
      <c r="B625" s="33"/>
      <c r="C625" s="67"/>
      <c r="D625" s="167"/>
      <c r="E625" s="67"/>
      <c r="F625" s="67"/>
      <c r="G625" s="67"/>
      <c r="H625" s="33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33"/>
      <c r="B626" s="33"/>
      <c r="C626" s="67"/>
      <c r="D626" s="167"/>
      <c r="E626" s="67"/>
      <c r="F626" s="67"/>
      <c r="G626" s="67"/>
      <c r="H626" s="33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33"/>
      <c r="B627" s="33"/>
      <c r="C627" s="67"/>
      <c r="D627" s="167"/>
      <c r="E627" s="67"/>
      <c r="F627" s="67"/>
      <c r="G627" s="67"/>
      <c r="H627" s="33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33"/>
      <c r="B628" s="33"/>
      <c r="C628" s="67"/>
      <c r="D628" s="167"/>
      <c r="E628" s="67"/>
      <c r="F628" s="67"/>
      <c r="G628" s="67"/>
      <c r="H628" s="33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33"/>
      <c r="B629" s="33"/>
      <c r="C629" s="67"/>
      <c r="D629" s="167"/>
      <c r="E629" s="67"/>
      <c r="F629" s="67"/>
      <c r="G629" s="67"/>
      <c r="H629" s="33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33"/>
      <c r="B630" s="33"/>
      <c r="C630" s="67"/>
      <c r="D630" s="167"/>
      <c r="E630" s="67"/>
      <c r="F630" s="67"/>
      <c r="G630" s="67"/>
      <c r="H630" s="33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33"/>
      <c r="B631" s="33"/>
      <c r="C631" s="67"/>
      <c r="D631" s="167"/>
      <c r="E631" s="67"/>
      <c r="F631" s="67"/>
      <c r="G631" s="67"/>
      <c r="H631" s="33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33"/>
      <c r="B632" s="33"/>
      <c r="C632" s="67"/>
      <c r="D632" s="167"/>
      <c r="E632" s="67"/>
      <c r="F632" s="67"/>
      <c r="G632" s="67"/>
      <c r="H632" s="33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33"/>
      <c r="B633" s="33"/>
      <c r="C633" s="67"/>
      <c r="D633" s="167"/>
      <c r="E633" s="67"/>
      <c r="F633" s="67"/>
      <c r="G633" s="67"/>
      <c r="H633" s="33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33"/>
      <c r="B634" s="33"/>
      <c r="C634" s="67"/>
      <c r="D634" s="167"/>
      <c r="E634" s="67"/>
      <c r="F634" s="67"/>
      <c r="G634" s="67"/>
      <c r="H634" s="33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33"/>
      <c r="B635" s="33"/>
      <c r="C635" s="67"/>
      <c r="D635" s="167"/>
      <c r="E635" s="67"/>
      <c r="F635" s="67"/>
      <c r="G635" s="67"/>
      <c r="H635" s="33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33"/>
      <c r="B636" s="33"/>
      <c r="C636" s="67"/>
      <c r="D636" s="167"/>
      <c r="E636" s="67"/>
      <c r="F636" s="67"/>
      <c r="G636" s="67"/>
      <c r="H636" s="33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33"/>
      <c r="B637" s="33"/>
      <c r="C637" s="67"/>
      <c r="D637" s="167"/>
      <c r="E637" s="67"/>
      <c r="F637" s="67"/>
      <c r="G637" s="67"/>
      <c r="H637" s="33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33"/>
      <c r="B638" s="33"/>
      <c r="C638" s="67"/>
      <c r="D638" s="167"/>
      <c r="E638" s="67"/>
      <c r="F638" s="67"/>
      <c r="G638" s="67"/>
      <c r="H638" s="33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33"/>
      <c r="B639" s="33"/>
      <c r="C639" s="67"/>
      <c r="D639" s="167"/>
      <c r="E639" s="67"/>
      <c r="F639" s="67"/>
      <c r="G639" s="67"/>
      <c r="H639" s="33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33"/>
      <c r="B640" s="33"/>
      <c r="C640" s="67"/>
      <c r="D640" s="167"/>
      <c r="E640" s="67"/>
      <c r="F640" s="67"/>
      <c r="G640" s="67"/>
      <c r="H640" s="33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33"/>
      <c r="B641" s="33"/>
      <c r="C641" s="67"/>
      <c r="D641" s="167"/>
      <c r="E641" s="67"/>
      <c r="F641" s="67"/>
      <c r="G641" s="67"/>
      <c r="H641" s="33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33"/>
      <c r="B642" s="33"/>
      <c r="C642" s="67"/>
      <c r="D642" s="167"/>
      <c r="E642" s="67"/>
      <c r="F642" s="67"/>
      <c r="G642" s="67"/>
      <c r="H642" s="33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33"/>
      <c r="B643" s="33"/>
      <c r="C643" s="67"/>
      <c r="D643" s="167"/>
      <c r="E643" s="67"/>
      <c r="F643" s="67"/>
      <c r="G643" s="67"/>
      <c r="H643" s="33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33"/>
      <c r="B644" s="33"/>
      <c r="C644" s="67"/>
      <c r="D644" s="167"/>
      <c r="E644" s="67"/>
      <c r="F644" s="67"/>
      <c r="G644" s="67"/>
      <c r="H644" s="33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33"/>
      <c r="B645" s="33"/>
      <c r="C645" s="67"/>
      <c r="D645" s="167"/>
      <c r="E645" s="67"/>
      <c r="F645" s="67"/>
      <c r="G645" s="67"/>
      <c r="H645" s="33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33"/>
      <c r="B646" s="33"/>
      <c r="C646" s="67"/>
      <c r="D646" s="167"/>
      <c r="E646" s="67"/>
      <c r="F646" s="67"/>
      <c r="G646" s="67"/>
      <c r="H646" s="33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33"/>
      <c r="B647" s="33"/>
      <c r="C647" s="67"/>
      <c r="D647" s="167"/>
      <c r="E647" s="67"/>
      <c r="F647" s="67"/>
      <c r="G647" s="67"/>
      <c r="H647" s="33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33"/>
      <c r="B648" s="33"/>
      <c r="C648" s="67"/>
      <c r="D648" s="167"/>
      <c r="E648" s="67"/>
      <c r="F648" s="67"/>
      <c r="G648" s="67"/>
      <c r="H648" s="33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33"/>
      <c r="B649" s="33"/>
      <c r="C649" s="67"/>
      <c r="D649" s="167"/>
      <c r="E649" s="67"/>
      <c r="F649" s="67"/>
      <c r="G649" s="67"/>
      <c r="H649" s="33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33"/>
      <c r="B650" s="33"/>
      <c r="C650" s="67"/>
      <c r="D650" s="167"/>
      <c r="E650" s="67"/>
      <c r="F650" s="67"/>
      <c r="G650" s="67"/>
      <c r="H650" s="33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33"/>
      <c r="B651" s="33"/>
      <c r="C651" s="67"/>
      <c r="D651" s="167"/>
      <c r="E651" s="67"/>
      <c r="F651" s="67"/>
      <c r="G651" s="67"/>
      <c r="H651" s="33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33"/>
      <c r="B652" s="33"/>
      <c r="C652" s="67"/>
      <c r="D652" s="167"/>
      <c r="E652" s="67"/>
      <c r="F652" s="67"/>
      <c r="G652" s="67"/>
      <c r="H652" s="33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33"/>
      <c r="B653" s="33"/>
      <c r="C653" s="67"/>
      <c r="D653" s="167"/>
      <c r="E653" s="67"/>
      <c r="F653" s="67"/>
      <c r="G653" s="67"/>
      <c r="H653" s="33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33"/>
      <c r="B654" s="33"/>
      <c r="C654" s="67"/>
      <c r="D654" s="167"/>
      <c r="E654" s="67"/>
      <c r="F654" s="67"/>
      <c r="G654" s="67"/>
      <c r="H654" s="33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33"/>
      <c r="B655" s="33"/>
      <c r="C655" s="67"/>
      <c r="D655" s="167"/>
      <c r="E655" s="67"/>
      <c r="F655" s="67"/>
      <c r="G655" s="67"/>
      <c r="H655" s="33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33"/>
      <c r="B656" s="33"/>
      <c r="C656" s="67"/>
      <c r="D656" s="167"/>
      <c r="E656" s="67"/>
      <c r="F656" s="67"/>
      <c r="G656" s="67"/>
      <c r="H656" s="33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33"/>
      <c r="B657" s="33"/>
      <c r="C657" s="67"/>
      <c r="D657" s="167"/>
      <c r="E657" s="67"/>
      <c r="F657" s="67"/>
      <c r="G657" s="67"/>
      <c r="H657" s="33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33"/>
      <c r="B658" s="33"/>
      <c r="C658" s="67"/>
      <c r="D658" s="167"/>
      <c r="E658" s="67"/>
      <c r="F658" s="67"/>
      <c r="G658" s="67"/>
      <c r="H658" s="33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33"/>
      <c r="B659" s="33"/>
      <c r="C659" s="67"/>
      <c r="D659" s="167"/>
      <c r="E659" s="67"/>
      <c r="F659" s="67"/>
      <c r="G659" s="67"/>
      <c r="H659" s="33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33"/>
      <c r="B660" s="33"/>
      <c r="C660" s="67"/>
      <c r="D660" s="167"/>
      <c r="E660" s="67"/>
      <c r="F660" s="67"/>
      <c r="G660" s="67"/>
      <c r="H660" s="33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33"/>
      <c r="B661" s="33"/>
      <c r="C661" s="67"/>
      <c r="D661" s="167"/>
      <c r="E661" s="67"/>
      <c r="F661" s="67"/>
      <c r="G661" s="67"/>
      <c r="H661" s="33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33"/>
      <c r="B662" s="33"/>
      <c r="C662" s="67"/>
      <c r="D662" s="167"/>
      <c r="E662" s="67"/>
      <c r="F662" s="67"/>
      <c r="G662" s="67"/>
      <c r="H662" s="33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33"/>
      <c r="B663" s="33"/>
      <c r="C663" s="67"/>
      <c r="D663" s="167"/>
      <c r="E663" s="67"/>
      <c r="F663" s="67"/>
      <c r="G663" s="67"/>
      <c r="H663" s="33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33"/>
      <c r="B664" s="33"/>
      <c r="C664" s="67"/>
      <c r="D664" s="167"/>
      <c r="E664" s="67"/>
      <c r="F664" s="67"/>
      <c r="G664" s="67"/>
      <c r="H664" s="33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33"/>
      <c r="B665" s="33"/>
      <c r="C665" s="67"/>
      <c r="D665" s="167"/>
      <c r="E665" s="67"/>
      <c r="F665" s="67"/>
      <c r="G665" s="67"/>
      <c r="H665" s="33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33"/>
      <c r="B666" s="33"/>
      <c r="C666" s="67"/>
      <c r="D666" s="167"/>
      <c r="E666" s="67"/>
      <c r="F666" s="67"/>
      <c r="G666" s="67"/>
      <c r="H666" s="33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33"/>
      <c r="B667" s="33"/>
      <c r="C667" s="67"/>
      <c r="D667" s="167"/>
      <c r="E667" s="67"/>
      <c r="F667" s="67"/>
      <c r="G667" s="67"/>
      <c r="H667" s="33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33"/>
      <c r="B668" s="33"/>
      <c r="C668" s="67"/>
      <c r="D668" s="167"/>
      <c r="E668" s="67"/>
      <c r="F668" s="67"/>
      <c r="G668" s="67"/>
      <c r="H668" s="33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33"/>
      <c r="B669" s="33"/>
      <c r="C669" s="67"/>
      <c r="D669" s="167"/>
      <c r="E669" s="67"/>
      <c r="F669" s="67"/>
      <c r="G669" s="67"/>
      <c r="H669" s="33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33"/>
      <c r="B670" s="33"/>
      <c r="C670" s="67"/>
      <c r="D670" s="167"/>
      <c r="E670" s="67"/>
      <c r="F670" s="67"/>
      <c r="G670" s="67"/>
      <c r="H670" s="33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33"/>
      <c r="B671" s="33"/>
      <c r="C671" s="67"/>
      <c r="D671" s="167"/>
      <c r="E671" s="67"/>
      <c r="F671" s="67"/>
      <c r="G671" s="67"/>
      <c r="H671" s="33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33"/>
      <c r="B672" s="33"/>
      <c r="C672" s="67"/>
      <c r="D672" s="167"/>
      <c r="E672" s="67"/>
      <c r="F672" s="67"/>
      <c r="G672" s="67"/>
      <c r="H672" s="33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33"/>
      <c r="B673" s="33"/>
      <c r="C673" s="67"/>
      <c r="D673" s="167"/>
      <c r="E673" s="67"/>
      <c r="F673" s="67"/>
      <c r="G673" s="67"/>
      <c r="H673" s="33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33"/>
      <c r="B674" s="33"/>
      <c r="C674" s="67"/>
      <c r="D674" s="167"/>
      <c r="E674" s="67"/>
      <c r="F674" s="67"/>
      <c r="G674" s="67"/>
      <c r="H674" s="33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33"/>
      <c r="B675" s="33"/>
      <c r="C675" s="67"/>
      <c r="D675" s="167"/>
      <c r="E675" s="67"/>
      <c r="F675" s="67"/>
      <c r="G675" s="67"/>
      <c r="H675" s="33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33"/>
      <c r="B676" s="33"/>
      <c r="C676" s="67"/>
      <c r="D676" s="167"/>
      <c r="E676" s="67"/>
      <c r="F676" s="67"/>
      <c r="G676" s="67"/>
      <c r="H676" s="33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33"/>
      <c r="B677" s="33"/>
      <c r="C677" s="67"/>
      <c r="D677" s="167"/>
      <c r="E677" s="67"/>
      <c r="F677" s="67"/>
      <c r="G677" s="67"/>
      <c r="H677" s="33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33"/>
      <c r="B678" s="33"/>
      <c r="C678" s="67"/>
      <c r="D678" s="167"/>
      <c r="E678" s="67"/>
      <c r="F678" s="67"/>
      <c r="G678" s="67"/>
      <c r="H678" s="33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33"/>
      <c r="B679" s="33"/>
      <c r="C679" s="67"/>
      <c r="D679" s="167"/>
      <c r="E679" s="67"/>
      <c r="F679" s="67"/>
      <c r="G679" s="67"/>
      <c r="H679" s="33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33"/>
      <c r="B680" s="33"/>
      <c r="C680" s="67"/>
      <c r="D680" s="167"/>
      <c r="E680" s="67"/>
      <c r="F680" s="67"/>
      <c r="G680" s="67"/>
      <c r="H680" s="33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33"/>
      <c r="B681" s="33"/>
      <c r="C681" s="67"/>
      <c r="D681" s="167"/>
      <c r="E681" s="67"/>
      <c r="F681" s="67"/>
      <c r="G681" s="67"/>
      <c r="H681" s="33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33"/>
      <c r="B682" s="33"/>
      <c r="C682" s="67"/>
      <c r="D682" s="167"/>
      <c r="E682" s="67"/>
      <c r="F682" s="67"/>
      <c r="G682" s="67"/>
      <c r="H682" s="33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33"/>
      <c r="B683" s="33"/>
      <c r="C683" s="67"/>
      <c r="D683" s="167"/>
      <c r="E683" s="67"/>
      <c r="F683" s="67"/>
      <c r="G683" s="67"/>
      <c r="H683" s="33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33"/>
      <c r="B684" s="33"/>
      <c r="C684" s="67"/>
      <c r="D684" s="167"/>
      <c r="E684" s="67"/>
      <c r="F684" s="67"/>
      <c r="G684" s="67"/>
      <c r="H684" s="33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33"/>
      <c r="B685" s="33"/>
      <c r="C685" s="67"/>
      <c r="D685" s="167"/>
      <c r="E685" s="67"/>
      <c r="F685" s="67"/>
      <c r="G685" s="67"/>
      <c r="H685" s="33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33"/>
      <c r="B686" s="33"/>
      <c r="C686" s="67"/>
      <c r="D686" s="167"/>
      <c r="E686" s="67"/>
      <c r="F686" s="67"/>
      <c r="G686" s="67"/>
      <c r="H686" s="33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33"/>
      <c r="B687" s="33"/>
      <c r="C687" s="67"/>
      <c r="D687" s="167"/>
      <c r="E687" s="67"/>
      <c r="F687" s="67"/>
      <c r="G687" s="67"/>
      <c r="H687" s="33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33"/>
      <c r="B688" s="33"/>
      <c r="C688" s="67"/>
      <c r="D688" s="167"/>
      <c r="E688" s="67"/>
      <c r="F688" s="67"/>
      <c r="G688" s="67"/>
      <c r="H688" s="33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33"/>
      <c r="B689" s="33"/>
      <c r="C689" s="67"/>
      <c r="D689" s="167"/>
      <c r="E689" s="67"/>
      <c r="F689" s="67"/>
      <c r="G689" s="67"/>
      <c r="H689" s="33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33"/>
      <c r="B690" s="33"/>
      <c r="C690" s="67"/>
      <c r="D690" s="167"/>
      <c r="E690" s="67"/>
      <c r="F690" s="67"/>
      <c r="G690" s="67"/>
      <c r="H690" s="33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33"/>
      <c r="B691" s="33"/>
      <c r="C691" s="67"/>
      <c r="D691" s="167"/>
      <c r="E691" s="67"/>
      <c r="F691" s="67"/>
      <c r="G691" s="67"/>
      <c r="H691" s="33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33"/>
      <c r="B692" s="33"/>
      <c r="C692" s="67"/>
      <c r="D692" s="167"/>
      <c r="E692" s="67"/>
      <c r="F692" s="67"/>
      <c r="G692" s="67"/>
      <c r="H692" s="33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33"/>
      <c r="B693" s="33"/>
      <c r="C693" s="67"/>
      <c r="D693" s="167"/>
      <c r="E693" s="67"/>
      <c r="F693" s="67"/>
      <c r="G693" s="67"/>
      <c r="H693" s="33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33"/>
      <c r="B694" s="33"/>
      <c r="C694" s="67"/>
      <c r="D694" s="167"/>
      <c r="E694" s="67"/>
      <c r="F694" s="67"/>
      <c r="G694" s="67"/>
      <c r="H694" s="33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33"/>
      <c r="B695" s="33"/>
      <c r="C695" s="67"/>
      <c r="D695" s="167"/>
      <c r="E695" s="67"/>
      <c r="F695" s="67"/>
      <c r="G695" s="67"/>
      <c r="H695" s="33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33"/>
      <c r="B696" s="33"/>
      <c r="C696" s="67"/>
      <c r="D696" s="167"/>
      <c r="E696" s="67"/>
      <c r="F696" s="67"/>
      <c r="G696" s="67"/>
      <c r="H696" s="33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33"/>
      <c r="B697" s="33"/>
      <c r="C697" s="67"/>
      <c r="D697" s="167"/>
      <c r="E697" s="67"/>
      <c r="F697" s="67"/>
      <c r="G697" s="67"/>
      <c r="H697" s="33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33"/>
      <c r="B698" s="33"/>
      <c r="C698" s="67"/>
      <c r="D698" s="167"/>
      <c r="E698" s="67"/>
      <c r="F698" s="67"/>
      <c r="G698" s="67"/>
      <c r="H698" s="33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33"/>
      <c r="B699" s="33"/>
      <c r="C699" s="67"/>
      <c r="D699" s="167"/>
      <c r="E699" s="67"/>
      <c r="F699" s="67"/>
      <c r="G699" s="67"/>
      <c r="H699" s="33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33"/>
      <c r="B700" s="33"/>
      <c r="C700" s="67"/>
      <c r="D700" s="167"/>
      <c r="E700" s="67"/>
      <c r="F700" s="67"/>
      <c r="G700" s="67"/>
      <c r="H700" s="33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33"/>
      <c r="B701" s="33"/>
      <c r="C701" s="67"/>
      <c r="D701" s="167"/>
      <c r="E701" s="67"/>
      <c r="F701" s="67"/>
      <c r="G701" s="67"/>
      <c r="H701" s="33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33"/>
      <c r="B702" s="33"/>
      <c r="C702" s="67"/>
      <c r="D702" s="167"/>
      <c r="E702" s="67"/>
      <c r="F702" s="67"/>
      <c r="G702" s="67"/>
      <c r="H702" s="33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33"/>
      <c r="B703" s="33"/>
      <c r="C703" s="67"/>
      <c r="D703" s="167"/>
      <c r="E703" s="67"/>
      <c r="F703" s="67"/>
      <c r="G703" s="67"/>
      <c r="H703" s="33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33"/>
      <c r="B704" s="33"/>
      <c r="C704" s="67"/>
      <c r="D704" s="167"/>
      <c r="E704" s="67"/>
      <c r="F704" s="67"/>
      <c r="G704" s="67"/>
      <c r="H704" s="33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33"/>
      <c r="B705" s="33"/>
      <c r="C705" s="67"/>
      <c r="D705" s="167"/>
      <c r="E705" s="67"/>
      <c r="F705" s="67"/>
      <c r="G705" s="67"/>
      <c r="H705" s="33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33"/>
      <c r="B706" s="33"/>
      <c r="C706" s="67"/>
      <c r="D706" s="167"/>
      <c r="E706" s="67"/>
      <c r="F706" s="67"/>
      <c r="G706" s="67"/>
      <c r="H706" s="33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33"/>
      <c r="B707" s="33"/>
      <c r="C707" s="67"/>
      <c r="D707" s="167"/>
      <c r="E707" s="67"/>
      <c r="F707" s="67"/>
      <c r="G707" s="67"/>
      <c r="H707" s="33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33"/>
      <c r="B708" s="33"/>
      <c r="C708" s="67"/>
      <c r="D708" s="167"/>
      <c r="E708" s="67"/>
      <c r="F708" s="67"/>
      <c r="G708" s="67"/>
      <c r="H708" s="33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33"/>
      <c r="B709" s="33"/>
      <c r="C709" s="67"/>
      <c r="D709" s="167"/>
      <c r="E709" s="67"/>
      <c r="F709" s="67"/>
      <c r="G709" s="67"/>
      <c r="H709" s="33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33"/>
      <c r="B710" s="33"/>
      <c r="C710" s="67"/>
      <c r="D710" s="167"/>
      <c r="E710" s="67"/>
      <c r="F710" s="67"/>
      <c r="G710" s="67"/>
      <c r="H710" s="33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33"/>
      <c r="B711" s="33"/>
      <c r="C711" s="67"/>
      <c r="D711" s="167"/>
      <c r="E711" s="67"/>
      <c r="F711" s="67"/>
      <c r="G711" s="67"/>
      <c r="H711" s="33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33"/>
      <c r="B712" s="33"/>
      <c r="C712" s="67"/>
      <c r="D712" s="167"/>
      <c r="E712" s="67"/>
      <c r="F712" s="67"/>
      <c r="G712" s="67"/>
      <c r="H712" s="33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33"/>
      <c r="B713" s="33"/>
      <c r="C713" s="67"/>
      <c r="D713" s="167"/>
      <c r="E713" s="67"/>
      <c r="F713" s="67"/>
      <c r="G713" s="67"/>
      <c r="H713" s="33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33"/>
      <c r="B714" s="33"/>
      <c r="C714" s="67"/>
      <c r="D714" s="167"/>
      <c r="E714" s="67"/>
      <c r="F714" s="67"/>
      <c r="G714" s="67"/>
      <c r="H714" s="33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33"/>
      <c r="B715" s="33"/>
      <c r="C715" s="67"/>
      <c r="D715" s="167"/>
      <c r="E715" s="67"/>
      <c r="F715" s="67"/>
      <c r="G715" s="67"/>
      <c r="H715" s="33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33"/>
      <c r="B716" s="33"/>
      <c r="C716" s="67"/>
      <c r="D716" s="167"/>
      <c r="E716" s="67"/>
      <c r="F716" s="67"/>
      <c r="G716" s="67"/>
      <c r="H716" s="33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33"/>
      <c r="B717" s="33"/>
      <c r="C717" s="67"/>
      <c r="D717" s="167"/>
      <c r="E717" s="67"/>
      <c r="F717" s="67"/>
      <c r="G717" s="67"/>
      <c r="H717" s="33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33"/>
      <c r="B718" s="33"/>
      <c r="C718" s="67"/>
      <c r="D718" s="167"/>
      <c r="E718" s="67"/>
      <c r="F718" s="67"/>
      <c r="G718" s="67"/>
      <c r="H718" s="33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33"/>
      <c r="B719" s="33"/>
      <c r="C719" s="67"/>
      <c r="D719" s="167"/>
      <c r="E719" s="67"/>
      <c r="F719" s="67"/>
      <c r="G719" s="67"/>
      <c r="H719" s="33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33"/>
      <c r="B720" s="33"/>
      <c r="C720" s="67"/>
      <c r="D720" s="167"/>
      <c r="E720" s="67"/>
      <c r="F720" s="67"/>
      <c r="G720" s="67"/>
      <c r="H720" s="33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33"/>
      <c r="B721" s="33"/>
      <c r="C721" s="67"/>
      <c r="D721" s="167"/>
      <c r="E721" s="67"/>
      <c r="F721" s="67"/>
      <c r="G721" s="67"/>
      <c r="H721" s="33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33"/>
      <c r="B722" s="33"/>
      <c r="C722" s="67"/>
      <c r="D722" s="167"/>
      <c r="E722" s="67"/>
      <c r="F722" s="67"/>
      <c r="G722" s="67"/>
      <c r="H722" s="33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33"/>
      <c r="B723" s="33"/>
      <c r="C723" s="67"/>
      <c r="D723" s="167"/>
      <c r="E723" s="67"/>
      <c r="F723" s="67"/>
      <c r="G723" s="67"/>
      <c r="H723" s="33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33"/>
      <c r="B724" s="33"/>
      <c r="C724" s="67"/>
      <c r="D724" s="167"/>
      <c r="E724" s="67"/>
      <c r="F724" s="67"/>
      <c r="G724" s="67"/>
      <c r="H724" s="33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33"/>
      <c r="B725" s="33"/>
      <c r="C725" s="67"/>
      <c r="D725" s="167"/>
      <c r="E725" s="67"/>
      <c r="F725" s="67"/>
      <c r="G725" s="67"/>
      <c r="H725" s="33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33"/>
      <c r="B726" s="33"/>
      <c r="C726" s="67"/>
      <c r="D726" s="167"/>
      <c r="E726" s="67"/>
      <c r="F726" s="67"/>
      <c r="G726" s="67"/>
      <c r="H726" s="33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33"/>
      <c r="B727" s="33"/>
      <c r="C727" s="67"/>
      <c r="D727" s="167"/>
      <c r="E727" s="67"/>
      <c r="F727" s="67"/>
      <c r="G727" s="67"/>
      <c r="H727" s="33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33"/>
      <c r="B728" s="33"/>
      <c r="C728" s="67"/>
      <c r="D728" s="167"/>
      <c r="E728" s="67"/>
      <c r="F728" s="67"/>
      <c r="G728" s="67"/>
      <c r="H728" s="33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33"/>
      <c r="B729" s="33"/>
      <c r="C729" s="67"/>
      <c r="D729" s="167"/>
      <c r="E729" s="67"/>
      <c r="F729" s="67"/>
      <c r="G729" s="67"/>
      <c r="H729" s="33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33"/>
      <c r="B730" s="33"/>
      <c r="C730" s="67"/>
      <c r="D730" s="167"/>
      <c r="E730" s="67"/>
      <c r="F730" s="67"/>
      <c r="G730" s="67"/>
      <c r="H730" s="33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33"/>
      <c r="B731" s="33"/>
      <c r="C731" s="67"/>
      <c r="D731" s="167"/>
      <c r="E731" s="67"/>
      <c r="F731" s="67"/>
      <c r="G731" s="67"/>
      <c r="H731" s="33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33"/>
      <c r="B732" s="33"/>
      <c r="C732" s="67"/>
      <c r="D732" s="167"/>
      <c r="E732" s="67"/>
      <c r="F732" s="67"/>
      <c r="G732" s="67"/>
      <c r="H732" s="33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33"/>
      <c r="B733" s="33"/>
      <c r="C733" s="67"/>
      <c r="D733" s="167"/>
      <c r="E733" s="67"/>
      <c r="F733" s="67"/>
      <c r="G733" s="67"/>
      <c r="H733" s="33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33"/>
      <c r="B734" s="33"/>
      <c r="C734" s="67"/>
      <c r="D734" s="167"/>
      <c r="E734" s="67"/>
      <c r="F734" s="67"/>
      <c r="G734" s="67"/>
      <c r="H734" s="33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33"/>
      <c r="B735" s="33"/>
      <c r="C735" s="67"/>
      <c r="D735" s="167"/>
      <c r="E735" s="67"/>
      <c r="F735" s="67"/>
      <c r="G735" s="67"/>
      <c r="H735" s="33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33"/>
      <c r="B736" s="33"/>
      <c r="C736" s="67"/>
      <c r="D736" s="167"/>
      <c r="E736" s="67"/>
      <c r="F736" s="67"/>
      <c r="G736" s="67"/>
      <c r="H736" s="33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33"/>
      <c r="B737" s="33"/>
      <c r="C737" s="67"/>
      <c r="D737" s="167"/>
      <c r="E737" s="67"/>
      <c r="F737" s="67"/>
      <c r="G737" s="67"/>
      <c r="H737" s="33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33"/>
      <c r="B738" s="33"/>
      <c r="C738" s="67"/>
      <c r="D738" s="167"/>
      <c r="E738" s="67"/>
      <c r="F738" s="67"/>
      <c r="G738" s="67"/>
      <c r="H738" s="33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33"/>
      <c r="B739" s="33"/>
      <c r="C739" s="67"/>
      <c r="D739" s="167"/>
      <c r="E739" s="67"/>
      <c r="F739" s="67"/>
      <c r="G739" s="67"/>
      <c r="H739" s="33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33"/>
      <c r="B740" s="33"/>
      <c r="C740" s="67"/>
      <c r="D740" s="167"/>
      <c r="E740" s="67"/>
      <c r="F740" s="67"/>
      <c r="G740" s="67"/>
      <c r="H740" s="33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33"/>
      <c r="B741" s="33"/>
      <c r="C741" s="67"/>
      <c r="D741" s="167"/>
      <c r="E741" s="67"/>
      <c r="F741" s="67"/>
      <c r="G741" s="67"/>
      <c r="H741" s="33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33"/>
      <c r="B742" s="33"/>
      <c r="C742" s="67"/>
      <c r="D742" s="167"/>
      <c r="E742" s="67"/>
      <c r="F742" s="67"/>
      <c r="G742" s="67"/>
      <c r="H742" s="33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33"/>
      <c r="B743" s="33"/>
      <c r="C743" s="67"/>
      <c r="D743" s="167"/>
      <c r="E743" s="67"/>
      <c r="F743" s="67"/>
      <c r="G743" s="67"/>
      <c r="H743" s="33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33"/>
      <c r="B744" s="33"/>
      <c r="C744" s="67"/>
      <c r="D744" s="167"/>
      <c r="E744" s="67"/>
      <c r="F744" s="67"/>
      <c r="G744" s="67"/>
      <c r="H744" s="33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33"/>
      <c r="B745" s="33"/>
      <c r="C745" s="67"/>
      <c r="D745" s="167"/>
      <c r="E745" s="67"/>
      <c r="F745" s="67"/>
      <c r="G745" s="67"/>
      <c r="H745" s="33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33"/>
      <c r="B746" s="33"/>
      <c r="C746" s="67"/>
      <c r="D746" s="167"/>
      <c r="E746" s="67"/>
      <c r="F746" s="67"/>
      <c r="G746" s="67"/>
      <c r="H746" s="33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33"/>
      <c r="B747" s="33"/>
      <c r="C747" s="67"/>
      <c r="D747" s="167"/>
      <c r="E747" s="67"/>
      <c r="F747" s="67"/>
      <c r="G747" s="67"/>
      <c r="H747" s="33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33"/>
      <c r="B748" s="33"/>
      <c r="C748" s="67"/>
      <c r="D748" s="167"/>
      <c r="E748" s="67"/>
      <c r="F748" s="67"/>
      <c r="G748" s="67"/>
      <c r="H748" s="33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33"/>
      <c r="B749" s="33"/>
      <c r="C749" s="67"/>
      <c r="D749" s="167"/>
      <c r="E749" s="67"/>
      <c r="F749" s="67"/>
      <c r="G749" s="67"/>
      <c r="H749" s="33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33"/>
      <c r="B750" s="33"/>
      <c r="C750" s="67"/>
      <c r="D750" s="167"/>
      <c r="E750" s="67"/>
      <c r="F750" s="67"/>
      <c r="G750" s="67"/>
      <c r="H750" s="33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33"/>
      <c r="B751" s="33"/>
      <c r="C751" s="67"/>
      <c r="D751" s="167"/>
      <c r="E751" s="67"/>
      <c r="F751" s="67"/>
      <c r="G751" s="67"/>
      <c r="H751" s="33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33"/>
      <c r="B752" s="33"/>
      <c r="C752" s="67"/>
      <c r="D752" s="167"/>
      <c r="E752" s="67"/>
      <c r="F752" s="67"/>
      <c r="G752" s="67"/>
      <c r="H752" s="33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33"/>
      <c r="B753" s="33"/>
      <c r="C753" s="67"/>
      <c r="D753" s="167"/>
      <c r="E753" s="67"/>
      <c r="F753" s="67"/>
      <c r="G753" s="67"/>
      <c r="H753" s="33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33"/>
      <c r="B754" s="33"/>
      <c r="C754" s="67"/>
      <c r="D754" s="167"/>
      <c r="E754" s="67"/>
      <c r="F754" s="67"/>
      <c r="G754" s="67"/>
      <c r="H754" s="33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33"/>
      <c r="B755" s="33"/>
      <c r="C755" s="67"/>
      <c r="D755" s="167"/>
      <c r="E755" s="67"/>
      <c r="F755" s="67"/>
      <c r="G755" s="67"/>
      <c r="H755" s="33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33"/>
      <c r="B756" s="33"/>
      <c r="C756" s="67"/>
      <c r="D756" s="167"/>
      <c r="E756" s="67"/>
      <c r="F756" s="67"/>
      <c r="G756" s="67"/>
      <c r="H756" s="33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33"/>
      <c r="B757" s="33"/>
      <c r="C757" s="67"/>
      <c r="D757" s="167"/>
      <c r="E757" s="67"/>
      <c r="F757" s="67"/>
      <c r="G757" s="67"/>
      <c r="H757" s="33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33"/>
      <c r="B758" s="33"/>
      <c r="C758" s="67"/>
      <c r="D758" s="167"/>
      <c r="E758" s="67"/>
      <c r="F758" s="67"/>
      <c r="G758" s="67"/>
      <c r="H758" s="33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33"/>
      <c r="B759" s="33"/>
      <c r="C759" s="67"/>
      <c r="D759" s="167"/>
      <c r="E759" s="67"/>
      <c r="F759" s="67"/>
      <c r="G759" s="67"/>
      <c r="H759" s="33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33"/>
      <c r="B760" s="33"/>
      <c r="C760" s="67"/>
      <c r="D760" s="167"/>
      <c r="E760" s="67"/>
      <c r="F760" s="67"/>
      <c r="G760" s="67"/>
      <c r="H760" s="33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33"/>
      <c r="B761" s="33"/>
      <c r="C761" s="67"/>
      <c r="D761" s="167"/>
      <c r="E761" s="67"/>
      <c r="F761" s="67"/>
      <c r="G761" s="67"/>
      <c r="H761" s="33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33"/>
      <c r="B762" s="33"/>
      <c r="C762" s="67"/>
      <c r="D762" s="167"/>
      <c r="E762" s="67"/>
      <c r="F762" s="67"/>
      <c r="G762" s="67"/>
      <c r="H762" s="33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33"/>
      <c r="B763" s="33"/>
      <c r="C763" s="67"/>
      <c r="D763" s="167"/>
      <c r="E763" s="67"/>
      <c r="F763" s="67"/>
      <c r="G763" s="67"/>
      <c r="H763" s="33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33"/>
      <c r="B764" s="33"/>
      <c r="C764" s="67"/>
      <c r="D764" s="167"/>
      <c r="E764" s="67"/>
      <c r="F764" s="67"/>
      <c r="G764" s="67"/>
      <c r="H764" s="33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33"/>
      <c r="B765" s="33"/>
      <c r="C765" s="67"/>
      <c r="D765" s="167"/>
      <c r="E765" s="67"/>
      <c r="F765" s="67"/>
      <c r="G765" s="67"/>
      <c r="H765" s="33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33"/>
      <c r="B766" s="33"/>
      <c r="C766" s="67"/>
      <c r="D766" s="167"/>
      <c r="E766" s="67"/>
      <c r="F766" s="67"/>
      <c r="G766" s="67"/>
      <c r="H766" s="33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33"/>
      <c r="B767" s="33"/>
      <c r="C767" s="67"/>
      <c r="D767" s="167"/>
      <c r="E767" s="67"/>
      <c r="F767" s="67"/>
      <c r="G767" s="67"/>
      <c r="H767" s="33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33"/>
      <c r="B768" s="33"/>
      <c r="C768" s="67"/>
      <c r="D768" s="167"/>
      <c r="E768" s="67"/>
      <c r="F768" s="67"/>
      <c r="G768" s="67"/>
      <c r="H768" s="33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33"/>
      <c r="B769" s="33"/>
      <c r="C769" s="67"/>
      <c r="D769" s="167"/>
      <c r="E769" s="67"/>
      <c r="F769" s="67"/>
      <c r="G769" s="67"/>
      <c r="H769" s="33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33"/>
      <c r="B770" s="33"/>
      <c r="C770" s="67"/>
      <c r="D770" s="167"/>
      <c r="E770" s="67"/>
      <c r="F770" s="67"/>
      <c r="G770" s="67"/>
      <c r="H770" s="33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33"/>
      <c r="B771" s="33"/>
      <c r="C771" s="67"/>
      <c r="D771" s="167"/>
      <c r="E771" s="67"/>
      <c r="F771" s="67"/>
      <c r="G771" s="67"/>
      <c r="H771" s="33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33"/>
      <c r="B772" s="33"/>
      <c r="C772" s="67"/>
      <c r="D772" s="167"/>
      <c r="E772" s="67"/>
      <c r="F772" s="67"/>
      <c r="G772" s="67"/>
      <c r="H772" s="33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33"/>
      <c r="B773" s="33"/>
      <c r="C773" s="67"/>
      <c r="D773" s="167"/>
      <c r="E773" s="67"/>
      <c r="F773" s="67"/>
      <c r="G773" s="67"/>
      <c r="H773" s="33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33"/>
      <c r="B774" s="33"/>
      <c r="C774" s="67"/>
      <c r="D774" s="167"/>
      <c r="E774" s="67"/>
      <c r="F774" s="67"/>
      <c r="G774" s="67"/>
      <c r="H774" s="33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33"/>
      <c r="B775" s="33"/>
      <c r="C775" s="67"/>
      <c r="D775" s="167"/>
      <c r="E775" s="67"/>
      <c r="F775" s="67"/>
      <c r="G775" s="67"/>
      <c r="H775" s="33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33"/>
      <c r="B776" s="33"/>
      <c r="C776" s="67"/>
      <c r="D776" s="167"/>
      <c r="E776" s="67"/>
      <c r="F776" s="67"/>
      <c r="G776" s="67"/>
      <c r="H776" s="33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33"/>
      <c r="B777" s="33"/>
      <c r="C777" s="67"/>
      <c r="D777" s="167"/>
      <c r="E777" s="67"/>
      <c r="F777" s="67"/>
      <c r="G777" s="67"/>
      <c r="H777" s="33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33"/>
      <c r="B778" s="33"/>
      <c r="C778" s="67"/>
      <c r="D778" s="167"/>
      <c r="E778" s="67"/>
      <c r="F778" s="67"/>
      <c r="G778" s="67"/>
      <c r="H778" s="33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33"/>
      <c r="B779" s="33"/>
      <c r="C779" s="67"/>
      <c r="D779" s="167"/>
      <c r="E779" s="67"/>
      <c r="F779" s="67"/>
      <c r="G779" s="67"/>
      <c r="H779" s="33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33"/>
      <c r="B780" s="33"/>
      <c r="C780" s="67"/>
      <c r="D780" s="167"/>
      <c r="E780" s="67"/>
      <c r="F780" s="67"/>
      <c r="G780" s="67"/>
      <c r="H780" s="33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33"/>
      <c r="B781" s="33"/>
      <c r="C781" s="67"/>
      <c r="D781" s="167"/>
      <c r="E781" s="67"/>
      <c r="F781" s="67"/>
      <c r="G781" s="67"/>
      <c r="H781" s="33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33"/>
      <c r="B782" s="33"/>
      <c r="C782" s="67"/>
      <c r="D782" s="167"/>
      <c r="E782" s="67"/>
      <c r="F782" s="67"/>
      <c r="G782" s="67"/>
      <c r="H782" s="33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33"/>
      <c r="B783" s="33"/>
      <c r="C783" s="67"/>
      <c r="D783" s="167"/>
      <c r="E783" s="67"/>
      <c r="F783" s="67"/>
      <c r="G783" s="67"/>
      <c r="H783" s="33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33"/>
      <c r="B784" s="33"/>
      <c r="C784" s="67"/>
      <c r="D784" s="167"/>
      <c r="E784" s="67"/>
      <c r="F784" s="67"/>
      <c r="G784" s="67"/>
      <c r="H784" s="33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33"/>
      <c r="B785" s="33"/>
      <c r="C785" s="67"/>
      <c r="D785" s="167"/>
      <c r="E785" s="67"/>
      <c r="F785" s="67"/>
      <c r="G785" s="67"/>
      <c r="H785" s="33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33"/>
      <c r="B786" s="33"/>
      <c r="C786" s="67"/>
      <c r="D786" s="167"/>
      <c r="E786" s="67"/>
      <c r="F786" s="67"/>
      <c r="G786" s="67"/>
      <c r="H786" s="33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33"/>
      <c r="B787" s="33"/>
      <c r="C787" s="67"/>
      <c r="D787" s="167"/>
      <c r="E787" s="67"/>
      <c r="F787" s="67"/>
      <c r="G787" s="67"/>
      <c r="H787" s="33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33"/>
      <c r="B788" s="33"/>
      <c r="C788" s="67"/>
      <c r="D788" s="167"/>
      <c r="E788" s="67"/>
      <c r="F788" s="67"/>
      <c r="G788" s="67"/>
      <c r="H788" s="33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33"/>
      <c r="B789" s="33"/>
      <c r="C789" s="67"/>
      <c r="D789" s="167"/>
      <c r="E789" s="67"/>
      <c r="F789" s="67"/>
      <c r="G789" s="67"/>
      <c r="H789" s="33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33"/>
      <c r="B790" s="33"/>
      <c r="C790" s="67"/>
      <c r="D790" s="167"/>
      <c r="E790" s="67"/>
      <c r="F790" s="67"/>
      <c r="G790" s="67"/>
      <c r="H790" s="33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33"/>
      <c r="B791" s="33"/>
      <c r="C791" s="67"/>
      <c r="D791" s="167"/>
      <c r="E791" s="67"/>
      <c r="F791" s="67"/>
      <c r="G791" s="67"/>
      <c r="H791" s="33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33"/>
      <c r="B792" s="33"/>
      <c r="C792" s="67"/>
      <c r="D792" s="167"/>
      <c r="E792" s="67"/>
      <c r="F792" s="67"/>
      <c r="G792" s="67"/>
      <c r="H792" s="33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33"/>
      <c r="B793" s="33"/>
      <c r="C793" s="67"/>
      <c r="D793" s="167"/>
      <c r="E793" s="67"/>
      <c r="F793" s="67"/>
      <c r="G793" s="67"/>
      <c r="H793" s="33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33"/>
      <c r="B794" s="33"/>
      <c r="C794" s="67"/>
      <c r="D794" s="167"/>
      <c r="E794" s="67"/>
      <c r="F794" s="67"/>
      <c r="G794" s="67"/>
      <c r="H794" s="33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33"/>
      <c r="B795" s="33"/>
      <c r="C795" s="67"/>
      <c r="D795" s="167"/>
      <c r="E795" s="67"/>
      <c r="F795" s="67"/>
      <c r="G795" s="67"/>
      <c r="H795" s="33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33"/>
      <c r="B796" s="33"/>
      <c r="C796" s="67"/>
      <c r="D796" s="167"/>
      <c r="E796" s="67"/>
      <c r="F796" s="67"/>
      <c r="G796" s="67"/>
      <c r="H796" s="33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33"/>
      <c r="B797" s="33"/>
      <c r="C797" s="67"/>
      <c r="D797" s="167"/>
      <c r="E797" s="67"/>
      <c r="F797" s="67"/>
      <c r="G797" s="67"/>
      <c r="H797" s="33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33"/>
      <c r="B798" s="33"/>
      <c r="C798" s="67"/>
      <c r="D798" s="167"/>
      <c r="E798" s="67"/>
      <c r="F798" s="67"/>
      <c r="G798" s="67"/>
      <c r="H798" s="33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33"/>
      <c r="B799" s="33"/>
      <c r="C799" s="67"/>
      <c r="D799" s="167"/>
      <c r="E799" s="67"/>
      <c r="F799" s="67"/>
      <c r="G799" s="67"/>
      <c r="H799" s="33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33"/>
      <c r="B800" s="33"/>
      <c r="C800" s="67"/>
      <c r="D800" s="167"/>
      <c r="E800" s="67"/>
      <c r="F800" s="67"/>
      <c r="G800" s="67"/>
      <c r="H800" s="33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33"/>
      <c r="B801" s="33"/>
      <c r="C801" s="67"/>
      <c r="D801" s="167"/>
      <c r="E801" s="67"/>
      <c r="F801" s="67"/>
      <c r="G801" s="67"/>
      <c r="H801" s="33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33"/>
      <c r="B802" s="33"/>
      <c r="C802" s="67"/>
      <c r="D802" s="167"/>
      <c r="E802" s="67"/>
      <c r="F802" s="67"/>
      <c r="G802" s="67"/>
      <c r="H802" s="33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33"/>
      <c r="B803" s="33"/>
      <c r="C803" s="67"/>
      <c r="D803" s="167"/>
      <c r="E803" s="67"/>
      <c r="F803" s="67"/>
      <c r="G803" s="67"/>
      <c r="H803" s="33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33"/>
      <c r="B804" s="33"/>
      <c r="C804" s="67"/>
      <c r="D804" s="167"/>
      <c r="E804" s="67"/>
      <c r="F804" s="67"/>
      <c r="G804" s="67"/>
      <c r="H804" s="33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33"/>
      <c r="B805" s="33"/>
      <c r="C805" s="67"/>
      <c r="D805" s="167"/>
      <c r="E805" s="67"/>
      <c r="F805" s="67"/>
      <c r="G805" s="67"/>
      <c r="H805" s="33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33"/>
      <c r="B806" s="33"/>
      <c r="C806" s="67"/>
      <c r="D806" s="167"/>
      <c r="E806" s="67"/>
      <c r="F806" s="67"/>
      <c r="G806" s="67"/>
      <c r="H806" s="33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33"/>
      <c r="B807" s="33"/>
      <c r="C807" s="67"/>
      <c r="D807" s="167"/>
      <c r="E807" s="67"/>
      <c r="F807" s="67"/>
      <c r="G807" s="67"/>
      <c r="H807" s="33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33"/>
      <c r="B808" s="33"/>
      <c r="C808" s="67"/>
      <c r="D808" s="167"/>
      <c r="E808" s="67"/>
      <c r="F808" s="67"/>
      <c r="G808" s="67"/>
      <c r="H808" s="33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33"/>
      <c r="B809" s="33"/>
      <c r="C809" s="67"/>
      <c r="D809" s="167"/>
      <c r="E809" s="67"/>
      <c r="F809" s="67"/>
      <c r="G809" s="67"/>
      <c r="H809" s="33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33"/>
      <c r="B810" s="33"/>
      <c r="C810" s="67"/>
      <c r="D810" s="167"/>
      <c r="E810" s="67"/>
      <c r="F810" s="67"/>
      <c r="G810" s="67"/>
      <c r="H810" s="33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33"/>
      <c r="B811" s="33"/>
      <c r="C811" s="67"/>
      <c r="D811" s="167"/>
      <c r="E811" s="67"/>
      <c r="F811" s="67"/>
      <c r="G811" s="67"/>
      <c r="H811" s="33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33"/>
      <c r="B812" s="33"/>
      <c r="C812" s="67"/>
      <c r="D812" s="167"/>
      <c r="E812" s="67"/>
      <c r="F812" s="67"/>
      <c r="G812" s="67"/>
      <c r="H812" s="33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33"/>
      <c r="B813" s="33"/>
      <c r="C813" s="67"/>
      <c r="D813" s="167"/>
      <c r="E813" s="67"/>
      <c r="F813" s="67"/>
      <c r="G813" s="67"/>
      <c r="H813" s="33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33"/>
      <c r="B814" s="33"/>
      <c r="C814" s="67"/>
      <c r="D814" s="167"/>
      <c r="E814" s="67"/>
      <c r="F814" s="67"/>
      <c r="G814" s="67"/>
      <c r="H814" s="33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33"/>
      <c r="B815" s="33"/>
      <c r="C815" s="67"/>
      <c r="D815" s="167"/>
      <c r="E815" s="67"/>
      <c r="F815" s="67"/>
      <c r="G815" s="67"/>
      <c r="H815" s="33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33"/>
      <c r="B816" s="33"/>
      <c r="C816" s="67"/>
      <c r="D816" s="167"/>
      <c r="E816" s="67"/>
      <c r="F816" s="67"/>
      <c r="G816" s="67"/>
      <c r="H816" s="33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33"/>
      <c r="B817" s="33"/>
      <c r="C817" s="67"/>
      <c r="D817" s="167"/>
      <c r="E817" s="67"/>
      <c r="F817" s="67"/>
      <c r="G817" s="67"/>
      <c r="H817" s="33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33"/>
      <c r="B818" s="33"/>
      <c r="C818" s="67"/>
      <c r="D818" s="167"/>
      <c r="E818" s="67"/>
      <c r="F818" s="67"/>
      <c r="G818" s="67"/>
      <c r="H818" s="33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33"/>
      <c r="B819" s="33"/>
      <c r="C819" s="67"/>
      <c r="D819" s="167"/>
      <c r="E819" s="67"/>
      <c r="F819" s="67"/>
      <c r="G819" s="67"/>
      <c r="H819" s="33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33"/>
      <c r="B820" s="33"/>
      <c r="C820" s="67"/>
      <c r="D820" s="167"/>
      <c r="E820" s="67"/>
      <c r="F820" s="67"/>
      <c r="G820" s="67"/>
      <c r="H820" s="33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33"/>
      <c r="B821" s="33"/>
      <c r="C821" s="67"/>
      <c r="D821" s="167"/>
      <c r="E821" s="67"/>
      <c r="F821" s="67"/>
      <c r="G821" s="67"/>
      <c r="H821" s="33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33"/>
      <c r="B822" s="33"/>
      <c r="C822" s="67"/>
      <c r="D822" s="167"/>
      <c r="E822" s="67"/>
      <c r="F822" s="67"/>
      <c r="G822" s="67"/>
      <c r="H822" s="33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33"/>
      <c r="B823" s="33"/>
      <c r="C823" s="67"/>
      <c r="D823" s="167"/>
      <c r="E823" s="67"/>
      <c r="F823" s="67"/>
      <c r="G823" s="67"/>
      <c r="H823" s="33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33"/>
      <c r="B824" s="33"/>
      <c r="C824" s="67"/>
      <c r="D824" s="167"/>
      <c r="E824" s="67"/>
      <c r="F824" s="67"/>
      <c r="G824" s="67"/>
      <c r="H824" s="33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33"/>
      <c r="B825" s="33"/>
      <c r="C825" s="67"/>
      <c r="D825" s="167"/>
      <c r="E825" s="67"/>
      <c r="F825" s="67"/>
      <c r="G825" s="67"/>
      <c r="H825" s="33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33"/>
      <c r="B826" s="33"/>
      <c r="C826" s="67"/>
      <c r="D826" s="167"/>
      <c r="E826" s="67"/>
      <c r="F826" s="67"/>
      <c r="G826" s="67"/>
      <c r="H826" s="33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33"/>
      <c r="B827" s="33"/>
      <c r="C827" s="67"/>
      <c r="D827" s="167"/>
      <c r="E827" s="67"/>
      <c r="F827" s="67"/>
      <c r="G827" s="67"/>
      <c r="H827" s="33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33"/>
      <c r="B828" s="33"/>
      <c r="C828" s="67"/>
      <c r="D828" s="167"/>
      <c r="E828" s="67"/>
      <c r="F828" s="67"/>
      <c r="G828" s="67"/>
      <c r="H828" s="33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33"/>
      <c r="B829" s="33"/>
      <c r="C829" s="67"/>
      <c r="D829" s="167"/>
      <c r="E829" s="67"/>
      <c r="F829" s="67"/>
      <c r="G829" s="67"/>
      <c r="H829" s="33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33"/>
      <c r="B830" s="33"/>
      <c r="C830" s="67"/>
      <c r="D830" s="167"/>
      <c r="E830" s="67"/>
      <c r="F830" s="67"/>
      <c r="G830" s="67"/>
      <c r="H830" s="33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33"/>
      <c r="B831" s="33"/>
      <c r="C831" s="67"/>
      <c r="D831" s="167"/>
      <c r="E831" s="67"/>
      <c r="F831" s="67"/>
      <c r="G831" s="67"/>
      <c r="H831" s="33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33"/>
      <c r="B832" s="33"/>
      <c r="C832" s="67"/>
      <c r="D832" s="167"/>
      <c r="E832" s="67"/>
      <c r="F832" s="67"/>
      <c r="G832" s="67"/>
      <c r="H832" s="33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33"/>
      <c r="B833" s="33"/>
      <c r="C833" s="67"/>
      <c r="D833" s="167"/>
      <c r="E833" s="67"/>
      <c r="F833" s="67"/>
      <c r="G833" s="67"/>
      <c r="H833" s="33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33"/>
      <c r="B834" s="33"/>
      <c r="C834" s="67"/>
      <c r="D834" s="167"/>
      <c r="E834" s="67"/>
      <c r="F834" s="67"/>
      <c r="G834" s="67"/>
      <c r="H834" s="33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33"/>
      <c r="B835" s="33"/>
      <c r="C835" s="67"/>
      <c r="D835" s="167"/>
      <c r="E835" s="67"/>
      <c r="F835" s="67"/>
      <c r="G835" s="67"/>
      <c r="H835" s="33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33"/>
      <c r="B836" s="33"/>
      <c r="C836" s="67"/>
      <c r="D836" s="167"/>
      <c r="E836" s="67"/>
      <c r="F836" s="67"/>
      <c r="G836" s="67"/>
      <c r="H836" s="33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33"/>
      <c r="B837" s="33"/>
      <c r="C837" s="67"/>
      <c r="D837" s="167"/>
      <c r="E837" s="67"/>
      <c r="F837" s="67"/>
      <c r="G837" s="67"/>
      <c r="H837" s="33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33"/>
      <c r="B838" s="33"/>
      <c r="C838" s="67"/>
      <c r="D838" s="167"/>
      <c r="E838" s="67"/>
      <c r="F838" s="67"/>
      <c r="G838" s="67"/>
      <c r="H838" s="33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33"/>
      <c r="B839" s="33"/>
      <c r="C839" s="67"/>
      <c r="D839" s="167"/>
      <c r="E839" s="67"/>
      <c r="F839" s="67"/>
      <c r="G839" s="67"/>
      <c r="H839" s="33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33"/>
      <c r="B840" s="33"/>
      <c r="C840" s="67"/>
      <c r="D840" s="167"/>
      <c r="E840" s="67"/>
      <c r="F840" s="67"/>
      <c r="G840" s="67"/>
      <c r="H840" s="33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33"/>
      <c r="B841" s="33"/>
      <c r="C841" s="67"/>
      <c r="D841" s="167"/>
      <c r="E841" s="67"/>
      <c r="F841" s="67"/>
      <c r="G841" s="67"/>
      <c r="H841" s="33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33"/>
      <c r="B842" s="33"/>
      <c r="C842" s="67"/>
      <c r="D842" s="167"/>
      <c r="E842" s="67"/>
      <c r="F842" s="67"/>
      <c r="G842" s="67"/>
      <c r="H842" s="33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33"/>
      <c r="B843" s="33"/>
      <c r="C843" s="67"/>
      <c r="D843" s="167"/>
      <c r="E843" s="67"/>
      <c r="F843" s="67"/>
      <c r="G843" s="67"/>
      <c r="H843" s="33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33"/>
      <c r="B844" s="33"/>
      <c r="C844" s="67"/>
      <c r="D844" s="167"/>
      <c r="E844" s="67"/>
      <c r="F844" s="67"/>
      <c r="G844" s="67"/>
      <c r="H844" s="33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33"/>
      <c r="B845" s="33"/>
      <c r="C845" s="67"/>
      <c r="D845" s="167"/>
      <c r="E845" s="67"/>
      <c r="F845" s="67"/>
      <c r="G845" s="67"/>
      <c r="H845" s="33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33"/>
      <c r="B846" s="33"/>
      <c r="C846" s="67"/>
      <c r="D846" s="167"/>
      <c r="E846" s="67"/>
      <c r="F846" s="67"/>
      <c r="G846" s="67"/>
      <c r="H846" s="33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33"/>
      <c r="B847" s="33"/>
      <c r="C847" s="67"/>
      <c r="D847" s="167"/>
      <c r="E847" s="67"/>
      <c r="F847" s="67"/>
      <c r="G847" s="67"/>
      <c r="H847" s="33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33"/>
      <c r="B848" s="33"/>
      <c r="C848" s="67"/>
      <c r="D848" s="167"/>
      <c r="E848" s="67"/>
      <c r="F848" s="67"/>
      <c r="G848" s="67"/>
      <c r="H848" s="33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33"/>
      <c r="B849" s="33"/>
      <c r="C849" s="67"/>
      <c r="D849" s="167"/>
      <c r="E849" s="67"/>
      <c r="F849" s="67"/>
      <c r="G849" s="67"/>
      <c r="H849" s="33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33"/>
      <c r="B850" s="33"/>
      <c r="C850" s="67"/>
      <c r="D850" s="167"/>
      <c r="E850" s="67"/>
      <c r="F850" s="67"/>
      <c r="G850" s="67"/>
      <c r="H850" s="33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33"/>
      <c r="B851" s="33"/>
      <c r="C851" s="67"/>
      <c r="D851" s="167"/>
      <c r="E851" s="67"/>
      <c r="F851" s="67"/>
      <c r="G851" s="67"/>
      <c r="H851" s="33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33"/>
      <c r="B852" s="33"/>
      <c r="C852" s="67"/>
      <c r="D852" s="167"/>
      <c r="E852" s="67"/>
      <c r="F852" s="67"/>
      <c r="G852" s="67"/>
      <c r="H852" s="33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33"/>
      <c r="B853" s="33"/>
      <c r="C853" s="67"/>
      <c r="D853" s="167"/>
      <c r="E853" s="67"/>
      <c r="F853" s="67"/>
      <c r="G853" s="67"/>
      <c r="H853" s="33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33"/>
      <c r="B854" s="33"/>
      <c r="C854" s="67"/>
      <c r="D854" s="167"/>
      <c r="E854" s="67"/>
      <c r="F854" s="67"/>
      <c r="G854" s="67"/>
      <c r="H854" s="33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33"/>
      <c r="B855" s="33"/>
      <c r="C855" s="67"/>
      <c r="D855" s="167"/>
      <c r="E855" s="67"/>
      <c r="F855" s="67"/>
      <c r="G855" s="67"/>
      <c r="H855" s="33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33"/>
      <c r="B856" s="33"/>
      <c r="C856" s="67"/>
      <c r="D856" s="167"/>
      <c r="E856" s="67"/>
      <c r="F856" s="67"/>
      <c r="G856" s="67"/>
      <c r="H856" s="33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33"/>
      <c r="B857" s="33"/>
      <c r="C857" s="67"/>
      <c r="D857" s="167"/>
      <c r="E857" s="67"/>
      <c r="F857" s="67"/>
      <c r="G857" s="67"/>
      <c r="H857" s="33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33"/>
      <c r="B858" s="33"/>
      <c r="C858" s="67"/>
      <c r="D858" s="167"/>
      <c r="E858" s="67"/>
      <c r="F858" s="67"/>
      <c r="G858" s="67"/>
      <c r="H858" s="33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33"/>
      <c r="B859" s="33"/>
      <c r="C859" s="67"/>
      <c r="D859" s="167"/>
      <c r="E859" s="67"/>
      <c r="F859" s="67"/>
      <c r="G859" s="67"/>
      <c r="H859" s="33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33"/>
      <c r="B860" s="33"/>
      <c r="C860" s="67"/>
      <c r="D860" s="167"/>
      <c r="E860" s="67"/>
      <c r="F860" s="67"/>
      <c r="G860" s="67"/>
      <c r="H860" s="33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33"/>
      <c r="B861" s="33"/>
      <c r="C861" s="67"/>
      <c r="D861" s="167"/>
      <c r="E861" s="67"/>
      <c r="F861" s="67"/>
      <c r="G861" s="67"/>
      <c r="H861" s="33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33"/>
      <c r="B862" s="33"/>
      <c r="C862" s="67"/>
      <c r="D862" s="167"/>
      <c r="E862" s="67"/>
      <c r="F862" s="67"/>
      <c r="G862" s="67"/>
      <c r="H862" s="33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33"/>
      <c r="B863" s="33"/>
      <c r="C863" s="67"/>
      <c r="D863" s="167"/>
      <c r="E863" s="67"/>
      <c r="F863" s="67"/>
      <c r="G863" s="67"/>
      <c r="H863" s="33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33"/>
      <c r="B864" s="33"/>
      <c r="C864" s="67"/>
      <c r="D864" s="167"/>
      <c r="E864" s="67"/>
      <c r="F864" s="67"/>
      <c r="G864" s="67"/>
      <c r="H864" s="33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33"/>
      <c r="B865" s="33"/>
      <c r="C865" s="67"/>
      <c r="D865" s="167"/>
      <c r="E865" s="67"/>
      <c r="F865" s="67"/>
      <c r="G865" s="67"/>
      <c r="H865" s="33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33"/>
      <c r="B866" s="33"/>
      <c r="C866" s="67"/>
      <c r="D866" s="167"/>
      <c r="E866" s="67"/>
      <c r="F866" s="67"/>
      <c r="G866" s="67"/>
      <c r="H866" s="33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33"/>
      <c r="B867" s="33"/>
      <c r="C867" s="67"/>
      <c r="D867" s="167"/>
      <c r="E867" s="67"/>
      <c r="F867" s="67"/>
      <c r="G867" s="67"/>
      <c r="H867" s="33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33"/>
      <c r="B868" s="33"/>
      <c r="C868" s="67"/>
      <c r="D868" s="167"/>
      <c r="E868" s="67"/>
      <c r="F868" s="67"/>
      <c r="G868" s="67"/>
      <c r="H868" s="33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33"/>
      <c r="B869" s="33"/>
      <c r="C869" s="67"/>
      <c r="D869" s="167"/>
      <c r="E869" s="67"/>
      <c r="F869" s="67"/>
      <c r="G869" s="67"/>
      <c r="H869" s="33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33"/>
      <c r="B870" s="33"/>
      <c r="C870" s="67"/>
      <c r="D870" s="167"/>
      <c r="E870" s="67"/>
      <c r="F870" s="67"/>
      <c r="G870" s="67"/>
      <c r="H870" s="33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33"/>
      <c r="B871" s="33"/>
      <c r="C871" s="67"/>
      <c r="D871" s="167"/>
      <c r="E871" s="67"/>
      <c r="F871" s="67"/>
      <c r="G871" s="67"/>
      <c r="H871" s="33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33"/>
      <c r="B872" s="33"/>
      <c r="C872" s="67"/>
      <c r="D872" s="167"/>
      <c r="E872" s="67"/>
      <c r="F872" s="67"/>
      <c r="G872" s="67"/>
      <c r="H872" s="33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33"/>
      <c r="B873" s="33"/>
      <c r="C873" s="67"/>
      <c r="D873" s="167"/>
      <c r="E873" s="67"/>
      <c r="F873" s="67"/>
      <c r="G873" s="67"/>
      <c r="H873" s="33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33"/>
      <c r="B874" s="33"/>
      <c r="C874" s="67"/>
      <c r="D874" s="167"/>
      <c r="E874" s="67"/>
      <c r="F874" s="67"/>
      <c r="G874" s="67"/>
      <c r="H874" s="33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33"/>
      <c r="B875" s="33"/>
      <c r="C875" s="67"/>
      <c r="D875" s="167"/>
      <c r="E875" s="67"/>
      <c r="F875" s="67"/>
      <c r="G875" s="67"/>
      <c r="H875" s="33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33"/>
      <c r="B876" s="33"/>
      <c r="C876" s="67"/>
      <c r="D876" s="167"/>
      <c r="E876" s="67"/>
      <c r="F876" s="67"/>
      <c r="G876" s="67"/>
      <c r="H876" s="33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33"/>
      <c r="B877" s="33"/>
      <c r="C877" s="67"/>
      <c r="D877" s="167"/>
      <c r="E877" s="67"/>
      <c r="F877" s="67"/>
      <c r="G877" s="67"/>
      <c r="H877" s="33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33"/>
      <c r="B878" s="33"/>
      <c r="C878" s="67"/>
      <c r="D878" s="167"/>
      <c r="E878" s="67"/>
      <c r="F878" s="67"/>
      <c r="G878" s="67"/>
      <c r="H878" s="33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33"/>
      <c r="B879" s="33"/>
      <c r="C879" s="67"/>
      <c r="D879" s="167"/>
      <c r="E879" s="67"/>
      <c r="F879" s="67"/>
      <c r="G879" s="67"/>
      <c r="H879" s="33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33"/>
      <c r="B880" s="33"/>
      <c r="C880" s="67"/>
      <c r="D880" s="167"/>
      <c r="E880" s="67"/>
      <c r="F880" s="67"/>
      <c r="G880" s="67"/>
      <c r="H880" s="33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33"/>
      <c r="B881" s="33"/>
      <c r="C881" s="67"/>
      <c r="D881" s="167"/>
      <c r="E881" s="67"/>
      <c r="F881" s="67"/>
      <c r="G881" s="67"/>
      <c r="H881" s="33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33"/>
      <c r="B882" s="33"/>
      <c r="C882" s="67"/>
      <c r="D882" s="167"/>
      <c r="E882" s="67"/>
      <c r="F882" s="67"/>
      <c r="G882" s="67"/>
      <c r="H882" s="33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33"/>
      <c r="B883" s="33"/>
      <c r="C883" s="67"/>
      <c r="D883" s="167"/>
      <c r="E883" s="67"/>
      <c r="F883" s="67"/>
      <c r="G883" s="67"/>
      <c r="H883" s="33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33"/>
      <c r="B884" s="33"/>
      <c r="C884" s="67"/>
      <c r="D884" s="167"/>
      <c r="E884" s="67"/>
      <c r="F884" s="67"/>
      <c r="G884" s="67"/>
      <c r="H884" s="33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33"/>
      <c r="B885" s="33"/>
      <c r="C885" s="67"/>
      <c r="D885" s="167"/>
      <c r="E885" s="67"/>
      <c r="F885" s="67"/>
      <c r="G885" s="67"/>
      <c r="H885" s="33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33"/>
      <c r="B886" s="33"/>
      <c r="C886" s="67"/>
      <c r="D886" s="167"/>
      <c r="E886" s="67"/>
      <c r="F886" s="67"/>
      <c r="G886" s="67"/>
      <c r="H886" s="33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33"/>
      <c r="B887" s="33"/>
      <c r="C887" s="67"/>
      <c r="D887" s="167"/>
      <c r="E887" s="67"/>
      <c r="F887" s="67"/>
      <c r="G887" s="67"/>
      <c r="H887" s="33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33"/>
      <c r="B888" s="33"/>
      <c r="C888" s="67"/>
      <c r="D888" s="167"/>
      <c r="E888" s="67"/>
      <c r="F888" s="67"/>
      <c r="G888" s="67"/>
      <c r="H888" s="33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33"/>
      <c r="B889" s="33"/>
      <c r="C889" s="67"/>
      <c r="D889" s="167"/>
      <c r="E889" s="67"/>
      <c r="F889" s="67"/>
      <c r="G889" s="67"/>
      <c r="H889" s="33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33"/>
      <c r="B890" s="33"/>
      <c r="C890" s="67"/>
      <c r="D890" s="167"/>
      <c r="E890" s="67"/>
      <c r="F890" s="67"/>
      <c r="G890" s="67"/>
      <c r="H890" s="33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33"/>
      <c r="B891" s="33"/>
      <c r="C891" s="67"/>
      <c r="D891" s="167"/>
      <c r="E891" s="67"/>
      <c r="F891" s="67"/>
      <c r="G891" s="67"/>
      <c r="H891" s="33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33"/>
      <c r="B892" s="33"/>
      <c r="C892" s="67"/>
      <c r="D892" s="167"/>
      <c r="E892" s="67"/>
      <c r="F892" s="67"/>
      <c r="G892" s="67"/>
      <c r="H892" s="33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33"/>
      <c r="B893" s="33"/>
      <c r="C893" s="67"/>
      <c r="D893" s="167"/>
      <c r="E893" s="67"/>
      <c r="F893" s="67"/>
      <c r="G893" s="67"/>
      <c r="H893" s="33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33"/>
      <c r="B894" s="33"/>
      <c r="C894" s="67"/>
      <c r="D894" s="167"/>
      <c r="E894" s="67"/>
      <c r="F894" s="67"/>
      <c r="G894" s="67"/>
      <c r="H894" s="33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33"/>
      <c r="B895" s="33"/>
      <c r="C895" s="67"/>
      <c r="D895" s="167"/>
      <c r="E895" s="67"/>
      <c r="F895" s="67"/>
      <c r="G895" s="67"/>
      <c r="H895" s="33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33"/>
      <c r="B896" s="33"/>
      <c r="C896" s="67"/>
      <c r="D896" s="167"/>
      <c r="E896" s="67"/>
      <c r="F896" s="67"/>
      <c r="G896" s="67"/>
      <c r="H896" s="33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33"/>
      <c r="B897" s="33"/>
      <c r="C897" s="67"/>
      <c r="D897" s="167"/>
      <c r="E897" s="67"/>
      <c r="F897" s="67"/>
      <c r="G897" s="67"/>
      <c r="H897" s="33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33"/>
      <c r="B898" s="33"/>
      <c r="C898" s="67"/>
      <c r="D898" s="167"/>
      <c r="E898" s="67"/>
      <c r="F898" s="67"/>
      <c r="G898" s="67"/>
      <c r="H898" s="33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33"/>
      <c r="B899" s="33"/>
      <c r="C899" s="67"/>
      <c r="D899" s="167"/>
      <c r="E899" s="67"/>
      <c r="F899" s="67"/>
      <c r="G899" s="67"/>
      <c r="H899" s="33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33"/>
      <c r="B900" s="33"/>
      <c r="C900" s="67"/>
      <c r="D900" s="167"/>
      <c r="E900" s="67"/>
      <c r="F900" s="67"/>
      <c r="G900" s="67"/>
      <c r="H900" s="33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33"/>
      <c r="B901" s="33"/>
      <c r="C901" s="67"/>
      <c r="D901" s="167"/>
      <c r="E901" s="67"/>
      <c r="F901" s="67"/>
      <c r="G901" s="67"/>
      <c r="H901" s="33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33"/>
      <c r="B902" s="33"/>
      <c r="C902" s="67"/>
      <c r="D902" s="167"/>
      <c r="E902" s="67"/>
      <c r="F902" s="67"/>
      <c r="G902" s="67"/>
      <c r="H902" s="33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33"/>
      <c r="B903" s="33"/>
      <c r="C903" s="67"/>
      <c r="D903" s="167"/>
      <c r="E903" s="67"/>
      <c r="F903" s="67"/>
      <c r="G903" s="67"/>
      <c r="H903" s="33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33"/>
      <c r="B904" s="33"/>
      <c r="C904" s="67"/>
      <c r="D904" s="167"/>
      <c r="E904" s="67"/>
      <c r="F904" s="67"/>
      <c r="G904" s="67"/>
      <c r="H904" s="33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33"/>
      <c r="B905" s="33"/>
      <c r="C905" s="67"/>
      <c r="D905" s="167"/>
      <c r="E905" s="67"/>
      <c r="F905" s="67"/>
      <c r="G905" s="67"/>
      <c r="H905" s="33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33"/>
      <c r="B906" s="33"/>
      <c r="C906" s="67"/>
      <c r="D906" s="167"/>
      <c r="E906" s="67"/>
      <c r="F906" s="67"/>
      <c r="G906" s="67"/>
      <c r="H906" s="33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33"/>
      <c r="B907" s="33"/>
      <c r="C907" s="67"/>
      <c r="D907" s="167"/>
      <c r="E907" s="67"/>
      <c r="F907" s="67"/>
      <c r="G907" s="67"/>
      <c r="H907" s="33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33"/>
      <c r="B908" s="33"/>
      <c r="C908" s="67"/>
      <c r="D908" s="167"/>
      <c r="E908" s="67"/>
      <c r="F908" s="67"/>
      <c r="G908" s="67"/>
      <c r="H908" s="33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33"/>
      <c r="B909" s="33"/>
      <c r="C909" s="67"/>
      <c r="D909" s="167"/>
      <c r="E909" s="67"/>
      <c r="F909" s="67"/>
      <c r="G909" s="67"/>
      <c r="H909" s="33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33"/>
      <c r="B910" s="33"/>
      <c r="C910" s="67"/>
      <c r="D910" s="167"/>
      <c r="E910" s="67"/>
      <c r="F910" s="67"/>
      <c r="G910" s="67"/>
      <c r="H910" s="33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33"/>
      <c r="B911" s="33"/>
      <c r="C911" s="67"/>
      <c r="D911" s="167"/>
      <c r="E911" s="67"/>
      <c r="F911" s="67"/>
      <c r="G911" s="67"/>
      <c r="H911" s="33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33"/>
      <c r="B912" s="33"/>
      <c r="C912" s="67"/>
      <c r="D912" s="167"/>
      <c r="E912" s="67"/>
      <c r="F912" s="67"/>
      <c r="G912" s="67"/>
      <c r="H912" s="33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33"/>
      <c r="B913" s="33"/>
      <c r="C913" s="67"/>
      <c r="D913" s="167"/>
      <c r="E913" s="67"/>
      <c r="F913" s="67"/>
      <c r="G913" s="67"/>
      <c r="H913" s="33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33"/>
      <c r="B914" s="33"/>
      <c r="C914" s="67"/>
      <c r="D914" s="167"/>
      <c r="E914" s="67"/>
      <c r="F914" s="67"/>
      <c r="G914" s="67"/>
      <c r="H914" s="33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33"/>
      <c r="B915" s="33"/>
      <c r="C915" s="67"/>
      <c r="D915" s="167"/>
      <c r="E915" s="67"/>
      <c r="F915" s="67"/>
      <c r="G915" s="67"/>
      <c r="H915" s="33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33"/>
      <c r="B916" s="33"/>
      <c r="C916" s="67"/>
      <c r="D916" s="167"/>
      <c r="E916" s="67"/>
      <c r="F916" s="67"/>
      <c r="G916" s="67"/>
      <c r="H916" s="33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33"/>
      <c r="B917" s="33"/>
      <c r="C917" s="67"/>
      <c r="D917" s="167"/>
      <c r="E917" s="67"/>
      <c r="F917" s="67"/>
      <c r="G917" s="67"/>
      <c r="H917" s="33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33"/>
      <c r="B918" s="33"/>
      <c r="C918" s="67"/>
      <c r="D918" s="167"/>
      <c r="E918" s="67"/>
      <c r="F918" s="67"/>
      <c r="G918" s="67"/>
      <c r="H918" s="33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33"/>
      <c r="B919" s="33"/>
      <c r="C919" s="67"/>
      <c r="D919" s="167"/>
      <c r="E919" s="67"/>
      <c r="F919" s="67"/>
      <c r="G919" s="67"/>
      <c r="H919" s="33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33"/>
      <c r="B920" s="33"/>
      <c r="C920" s="67"/>
      <c r="D920" s="167"/>
      <c r="E920" s="67"/>
      <c r="F920" s="67"/>
      <c r="G920" s="67"/>
      <c r="H920" s="33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33"/>
      <c r="B921" s="33"/>
      <c r="C921" s="67"/>
      <c r="D921" s="167"/>
      <c r="E921" s="67"/>
      <c r="F921" s="67"/>
      <c r="G921" s="67"/>
      <c r="H921" s="33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33"/>
      <c r="B922" s="33"/>
      <c r="C922" s="67"/>
      <c r="D922" s="167"/>
      <c r="E922" s="67"/>
      <c r="F922" s="67"/>
      <c r="G922" s="67"/>
      <c r="H922" s="33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33"/>
      <c r="B923" s="33"/>
      <c r="C923" s="67"/>
      <c r="D923" s="167"/>
      <c r="E923" s="67"/>
      <c r="F923" s="67"/>
      <c r="G923" s="67"/>
      <c r="H923" s="33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33"/>
      <c r="B924" s="33"/>
      <c r="C924" s="67"/>
      <c r="D924" s="167"/>
      <c r="E924" s="67"/>
      <c r="F924" s="67"/>
      <c r="G924" s="67"/>
      <c r="H924" s="33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33"/>
      <c r="B925" s="33"/>
      <c r="C925" s="67"/>
      <c r="D925" s="167"/>
      <c r="E925" s="67"/>
      <c r="F925" s="67"/>
      <c r="G925" s="67"/>
      <c r="H925" s="33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33"/>
      <c r="B926" s="33"/>
      <c r="C926" s="67"/>
      <c r="D926" s="167"/>
      <c r="E926" s="67"/>
      <c r="F926" s="67"/>
      <c r="G926" s="67"/>
      <c r="H926" s="33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33"/>
      <c r="B927" s="33"/>
      <c r="C927" s="67"/>
      <c r="D927" s="167"/>
      <c r="E927" s="67"/>
      <c r="F927" s="67"/>
      <c r="G927" s="67"/>
      <c r="H927" s="33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33"/>
      <c r="B928" s="33"/>
      <c r="C928" s="67"/>
      <c r="D928" s="167"/>
      <c r="E928" s="67"/>
      <c r="F928" s="67"/>
      <c r="G928" s="67"/>
      <c r="H928" s="33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33"/>
      <c r="B929" s="33"/>
      <c r="C929" s="67"/>
      <c r="D929" s="167"/>
      <c r="E929" s="67"/>
      <c r="F929" s="67"/>
      <c r="G929" s="67"/>
      <c r="H929" s="33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33"/>
      <c r="B930" s="33"/>
      <c r="C930" s="67"/>
      <c r="D930" s="167"/>
      <c r="E930" s="67"/>
      <c r="F930" s="67"/>
      <c r="G930" s="67"/>
      <c r="H930" s="33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33"/>
      <c r="B931" s="33"/>
      <c r="C931" s="67"/>
      <c r="D931" s="167"/>
      <c r="E931" s="67"/>
      <c r="F931" s="67"/>
      <c r="G931" s="67"/>
      <c r="H931" s="33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33"/>
      <c r="B932" s="33"/>
      <c r="C932" s="67"/>
      <c r="D932" s="167"/>
      <c r="E932" s="67"/>
      <c r="F932" s="67"/>
      <c r="G932" s="67"/>
      <c r="H932" s="33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33"/>
      <c r="B933" s="33"/>
      <c r="C933" s="67"/>
      <c r="D933" s="167"/>
      <c r="E933" s="67"/>
      <c r="F933" s="67"/>
      <c r="G933" s="67"/>
      <c r="H933" s="33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33"/>
      <c r="B934" s="33"/>
      <c r="C934" s="67"/>
      <c r="D934" s="167"/>
      <c r="E934" s="67"/>
      <c r="F934" s="67"/>
      <c r="G934" s="67"/>
      <c r="H934" s="33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33"/>
      <c r="B935" s="33"/>
      <c r="C935" s="67"/>
      <c r="D935" s="167"/>
      <c r="E935" s="67"/>
      <c r="F935" s="67"/>
      <c r="G935" s="67"/>
      <c r="H935" s="33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33"/>
      <c r="B936" s="33"/>
      <c r="C936" s="67"/>
      <c r="D936" s="167"/>
      <c r="E936" s="67"/>
      <c r="F936" s="67"/>
      <c r="G936" s="67"/>
      <c r="H936" s="33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33"/>
      <c r="B937" s="33"/>
      <c r="C937" s="67"/>
      <c r="D937" s="167"/>
      <c r="E937" s="67"/>
      <c r="F937" s="67"/>
      <c r="G937" s="67"/>
      <c r="H937" s="33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33"/>
      <c r="B938" s="33"/>
      <c r="C938" s="67"/>
      <c r="D938" s="167"/>
      <c r="E938" s="67"/>
      <c r="F938" s="67"/>
      <c r="G938" s="67"/>
      <c r="H938" s="33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33"/>
      <c r="B939" s="33"/>
      <c r="C939" s="67"/>
      <c r="D939" s="167"/>
      <c r="E939" s="67"/>
      <c r="F939" s="67"/>
      <c r="G939" s="67"/>
      <c r="H939" s="33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33"/>
      <c r="B940" s="33"/>
      <c r="C940" s="67"/>
      <c r="D940" s="167"/>
      <c r="E940" s="67"/>
      <c r="F940" s="67"/>
      <c r="G940" s="67"/>
      <c r="H940" s="33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33"/>
      <c r="B941" s="33"/>
      <c r="C941" s="67"/>
      <c r="D941" s="167"/>
      <c r="E941" s="67"/>
      <c r="F941" s="67"/>
      <c r="G941" s="67"/>
      <c r="H941" s="33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33"/>
      <c r="B942" s="33"/>
      <c r="C942" s="67"/>
      <c r="D942" s="167"/>
      <c r="E942" s="67"/>
      <c r="F942" s="67"/>
      <c r="G942" s="67"/>
      <c r="H942" s="33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33"/>
      <c r="B943" s="33"/>
      <c r="C943" s="67"/>
      <c r="D943" s="167"/>
      <c r="E943" s="67"/>
      <c r="F943" s="67"/>
      <c r="G943" s="67"/>
      <c r="H943" s="33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33"/>
      <c r="B944" s="33"/>
      <c r="C944" s="67"/>
      <c r="D944" s="167"/>
      <c r="E944" s="67"/>
      <c r="F944" s="67"/>
      <c r="G944" s="67"/>
      <c r="H944" s="33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33"/>
      <c r="B945" s="33"/>
      <c r="C945" s="67"/>
      <c r="D945" s="167"/>
      <c r="E945" s="67"/>
      <c r="F945" s="67"/>
      <c r="G945" s="67"/>
      <c r="H945" s="33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33"/>
      <c r="B946" s="33"/>
      <c r="C946" s="67"/>
      <c r="D946" s="167"/>
      <c r="E946" s="67"/>
      <c r="F946" s="67"/>
      <c r="G946" s="67"/>
      <c r="H946" s="33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33"/>
      <c r="B947" s="33"/>
      <c r="C947" s="67"/>
      <c r="D947" s="167"/>
      <c r="E947" s="67"/>
      <c r="F947" s="67"/>
      <c r="G947" s="67"/>
      <c r="H947" s="33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33"/>
      <c r="B948" s="33"/>
      <c r="C948" s="67"/>
      <c r="D948" s="167"/>
      <c r="E948" s="67"/>
      <c r="F948" s="67"/>
      <c r="G948" s="67"/>
      <c r="H948" s="33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33"/>
      <c r="B949" s="33"/>
      <c r="C949" s="67"/>
      <c r="D949" s="167"/>
      <c r="E949" s="67"/>
      <c r="F949" s="67"/>
      <c r="G949" s="67"/>
      <c r="H949" s="33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33"/>
      <c r="B950" s="33"/>
      <c r="C950" s="67"/>
      <c r="D950" s="167"/>
      <c r="E950" s="67"/>
      <c r="F950" s="67"/>
      <c r="G950" s="67"/>
      <c r="H950" s="33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33"/>
      <c r="B951" s="33"/>
      <c r="C951" s="67"/>
      <c r="D951" s="167"/>
      <c r="E951" s="67"/>
      <c r="F951" s="67"/>
      <c r="G951" s="67"/>
      <c r="H951" s="33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33"/>
      <c r="B952" s="33"/>
      <c r="C952" s="67"/>
      <c r="D952" s="167"/>
      <c r="E952" s="67"/>
      <c r="F952" s="67"/>
      <c r="G952" s="67"/>
      <c r="H952" s="33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33"/>
      <c r="B953" s="33"/>
      <c r="C953" s="67"/>
      <c r="D953" s="167"/>
      <c r="E953" s="67"/>
      <c r="F953" s="67"/>
      <c r="G953" s="67"/>
      <c r="H953" s="33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33"/>
      <c r="B954" s="33"/>
      <c r="C954" s="67"/>
      <c r="D954" s="167"/>
      <c r="E954" s="67"/>
      <c r="F954" s="67"/>
      <c r="G954" s="67"/>
      <c r="H954" s="33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33"/>
      <c r="B955" s="33"/>
      <c r="C955" s="67"/>
      <c r="D955" s="167"/>
      <c r="E955" s="67"/>
      <c r="F955" s="67"/>
      <c r="G955" s="67"/>
      <c r="H955" s="33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33"/>
      <c r="B956" s="33"/>
      <c r="C956" s="67"/>
      <c r="D956" s="167"/>
      <c r="E956" s="67"/>
      <c r="F956" s="67"/>
      <c r="G956" s="67"/>
      <c r="H956" s="33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33"/>
      <c r="B957" s="33"/>
      <c r="C957" s="67"/>
      <c r="D957" s="167"/>
      <c r="E957" s="67"/>
      <c r="F957" s="67"/>
      <c r="G957" s="67"/>
      <c r="H957" s="33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33"/>
      <c r="B958" s="33"/>
      <c r="C958" s="67"/>
      <c r="D958" s="167"/>
      <c r="E958" s="67"/>
      <c r="F958" s="67"/>
      <c r="G958" s="67"/>
      <c r="H958" s="33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33"/>
      <c r="B959" s="33"/>
      <c r="C959" s="67"/>
      <c r="D959" s="167"/>
      <c r="E959" s="67"/>
      <c r="F959" s="67"/>
      <c r="G959" s="67"/>
      <c r="H959" s="33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33"/>
      <c r="B960" s="33"/>
      <c r="C960" s="67"/>
      <c r="D960" s="167"/>
      <c r="E960" s="67"/>
      <c r="F960" s="67"/>
      <c r="G960" s="67"/>
      <c r="H960" s="33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33"/>
      <c r="B961" s="33"/>
      <c r="C961" s="67"/>
      <c r="D961" s="167"/>
      <c r="E961" s="67"/>
      <c r="F961" s="67"/>
      <c r="G961" s="67"/>
      <c r="H961" s="33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33"/>
      <c r="B962" s="33"/>
      <c r="C962" s="67"/>
      <c r="D962" s="167"/>
      <c r="E962" s="67"/>
      <c r="F962" s="67"/>
      <c r="G962" s="67"/>
      <c r="H962" s="33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33"/>
      <c r="B963" s="33"/>
      <c r="C963" s="67"/>
      <c r="D963" s="167"/>
      <c r="E963" s="67"/>
      <c r="F963" s="67"/>
      <c r="G963" s="67"/>
      <c r="H963" s="33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33"/>
      <c r="B964" s="33"/>
      <c r="C964" s="67"/>
      <c r="D964" s="167"/>
      <c r="E964" s="67"/>
      <c r="F964" s="67"/>
      <c r="G964" s="67"/>
      <c r="H964" s="33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33"/>
      <c r="B965" s="33"/>
      <c r="C965" s="67"/>
      <c r="D965" s="167"/>
      <c r="E965" s="67"/>
      <c r="F965" s="67"/>
      <c r="G965" s="67"/>
      <c r="H965" s="33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33"/>
      <c r="B966" s="33"/>
      <c r="C966" s="67"/>
      <c r="D966" s="167"/>
      <c r="E966" s="67"/>
      <c r="F966" s="67"/>
      <c r="G966" s="67"/>
      <c r="H966" s="33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33"/>
      <c r="B967" s="33"/>
      <c r="C967" s="67"/>
      <c r="D967" s="167"/>
      <c r="E967" s="67"/>
      <c r="F967" s="67"/>
      <c r="G967" s="67"/>
      <c r="H967" s="33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33"/>
      <c r="B968" s="33"/>
      <c r="C968" s="67"/>
      <c r="D968" s="167"/>
      <c r="E968" s="67"/>
      <c r="F968" s="67"/>
      <c r="G968" s="67"/>
      <c r="H968" s="33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33"/>
      <c r="B969" s="33"/>
      <c r="C969" s="67"/>
      <c r="D969" s="167"/>
      <c r="E969" s="67"/>
      <c r="F969" s="67"/>
      <c r="G969" s="67"/>
      <c r="H969" s="33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33"/>
      <c r="B970" s="33"/>
      <c r="C970" s="67"/>
      <c r="D970" s="167"/>
      <c r="E970" s="67"/>
      <c r="F970" s="67"/>
      <c r="G970" s="67"/>
      <c r="H970" s="33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33"/>
      <c r="B971" s="33"/>
      <c r="C971" s="67"/>
      <c r="D971" s="167"/>
      <c r="E971" s="67"/>
      <c r="F971" s="67"/>
      <c r="G971" s="67"/>
      <c r="H971" s="33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33"/>
      <c r="B972" s="33"/>
      <c r="C972" s="67"/>
      <c r="D972" s="167"/>
      <c r="E972" s="67"/>
      <c r="F972" s="67"/>
      <c r="G972" s="67"/>
      <c r="H972" s="33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33"/>
      <c r="B973" s="33"/>
      <c r="C973" s="67"/>
      <c r="D973" s="167"/>
      <c r="E973" s="67"/>
      <c r="F973" s="67"/>
      <c r="G973" s="67"/>
      <c r="H973" s="33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33"/>
      <c r="B974" s="33"/>
      <c r="C974" s="67"/>
      <c r="D974" s="167"/>
      <c r="E974" s="67"/>
      <c r="F974" s="67"/>
      <c r="G974" s="67"/>
      <c r="H974" s="33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33"/>
      <c r="B975" s="33"/>
      <c r="C975" s="67"/>
      <c r="D975" s="167"/>
      <c r="E975" s="67"/>
      <c r="F975" s="67"/>
      <c r="G975" s="67"/>
      <c r="H975" s="33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33"/>
      <c r="B976" s="33"/>
      <c r="C976" s="67"/>
      <c r="D976" s="167"/>
      <c r="E976" s="67"/>
      <c r="F976" s="67"/>
      <c r="G976" s="67"/>
      <c r="H976" s="33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33"/>
      <c r="B977" s="33"/>
      <c r="C977" s="67"/>
      <c r="D977" s="167"/>
      <c r="E977" s="67"/>
      <c r="F977" s="67"/>
      <c r="G977" s="67"/>
      <c r="H977" s="33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33"/>
      <c r="B978" s="33"/>
      <c r="C978" s="67"/>
      <c r="D978" s="167"/>
      <c r="E978" s="67"/>
      <c r="F978" s="67"/>
      <c r="G978" s="67"/>
      <c r="H978" s="33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33"/>
      <c r="B979" s="33"/>
      <c r="C979" s="67"/>
      <c r="D979" s="167"/>
      <c r="E979" s="67"/>
      <c r="F979" s="67"/>
      <c r="G979" s="67"/>
      <c r="H979" s="33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33"/>
      <c r="B980" s="33"/>
      <c r="C980" s="67"/>
      <c r="D980" s="167"/>
      <c r="E980" s="67"/>
      <c r="F980" s="67"/>
      <c r="G980" s="67"/>
      <c r="H980" s="33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33"/>
      <c r="B981" s="33"/>
      <c r="C981" s="67"/>
      <c r="D981" s="167"/>
      <c r="E981" s="67"/>
      <c r="F981" s="67"/>
      <c r="G981" s="67"/>
      <c r="H981" s="33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33"/>
      <c r="B982" s="33"/>
      <c r="C982" s="67"/>
      <c r="D982" s="167"/>
      <c r="E982" s="67"/>
      <c r="F982" s="67"/>
      <c r="G982" s="67"/>
      <c r="H982" s="33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33"/>
      <c r="B983" s="33"/>
      <c r="C983" s="67"/>
      <c r="D983" s="167"/>
      <c r="E983" s="67"/>
      <c r="F983" s="67"/>
      <c r="G983" s="67"/>
      <c r="H983" s="33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33"/>
      <c r="B984" s="33"/>
      <c r="C984" s="67"/>
      <c r="D984" s="167"/>
      <c r="E984" s="67"/>
      <c r="F984" s="67"/>
      <c r="G984" s="67"/>
      <c r="H984" s="33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33"/>
      <c r="B985" s="33"/>
      <c r="C985" s="67"/>
      <c r="D985" s="167"/>
      <c r="E985" s="67"/>
      <c r="F985" s="67"/>
      <c r="G985" s="67"/>
      <c r="H985" s="33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33"/>
      <c r="B986" s="33"/>
      <c r="C986" s="67"/>
      <c r="D986" s="167"/>
      <c r="E986" s="67"/>
      <c r="F986" s="67"/>
      <c r="G986" s="67"/>
      <c r="H986" s="33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33"/>
      <c r="B987" s="33"/>
      <c r="C987" s="67"/>
      <c r="D987" s="167"/>
      <c r="E987" s="67"/>
      <c r="F987" s="67"/>
      <c r="G987" s="67"/>
      <c r="H987" s="33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33"/>
      <c r="B988" s="33"/>
      <c r="C988" s="67"/>
      <c r="D988" s="167"/>
      <c r="E988" s="67"/>
      <c r="F988" s="67"/>
      <c r="G988" s="67"/>
      <c r="H988" s="33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33"/>
      <c r="B989" s="33"/>
      <c r="C989" s="67"/>
      <c r="D989" s="167"/>
      <c r="E989" s="67"/>
      <c r="F989" s="67"/>
      <c r="G989" s="67"/>
      <c r="H989" s="33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33"/>
      <c r="B990" s="33"/>
      <c r="C990" s="67"/>
      <c r="D990" s="167"/>
      <c r="E990" s="67"/>
      <c r="F990" s="67"/>
      <c r="G990" s="67"/>
      <c r="H990" s="33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33"/>
      <c r="B991" s="33"/>
      <c r="C991" s="67"/>
      <c r="D991" s="167"/>
      <c r="E991" s="67"/>
      <c r="F991" s="67"/>
      <c r="G991" s="67"/>
      <c r="H991" s="33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33"/>
      <c r="B992" s="33"/>
      <c r="C992" s="67"/>
      <c r="D992" s="167"/>
      <c r="E992" s="67"/>
      <c r="F992" s="67"/>
      <c r="G992" s="67"/>
      <c r="H992" s="33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33"/>
      <c r="B993" s="33"/>
      <c r="C993" s="67"/>
      <c r="D993" s="167"/>
      <c r="E993" s="67"/>
      <c r="F993" s="67"/>
      <c r="G993" s="67"/>
      <c r="H993" s="33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33"/>
      <c r="B994" s="33"/>
      <c r="C994" s="67"/>
      <c r="D994" s="167"/>
      <c r="E994" s="67"/>
      <c r="F994" s="67"/>
      <c r="G994" s="67"/>
      <c r="H994" s="33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33"/>
      <c r="B995" s="33"/>
      <c r="C995" s="67"/>
      <c r="D995" s="167"/>
      <c r="E995" s="67"/>
      <c r="F995" s="67"/>
      <c r="G995" s="67"/>
      <c r="H995" s="33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33"/>
      <c r="B996" s="33"/>
      <c r="C996" s="67"/>
      <c r="D996" s="167"/>
      <c r="E996" s="67"/>
      <c r="F996" s="67"/>
      <c r="G996" s="67"/>
      <c r="H996" s="33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33"/>
      <c r="B997" s="33"/>
      <c r="C997" s="67"/>
      <c r="D997" s="167"/>
      <c r="E997" s="67"/>
      <c r="F997" s="67"/>
      <c r="G997" s="67"/>
      <c r="H997" s="33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33"/>
      <c r="B998" s="33"/>
      <c r="C998" s="67"/>
      <c r="D998" s="167"/>
      <c r="E998" s="67"/>
      <c r="F998" s="67"/>
      <c r="G998" s="67"/>
      <c r="H998" s="33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33"/>
      <c r="B999" s="33"/>
      <c r="C999" s="67"/>
      <c r="D999" s="167"/>
      <c r="E999" s="67"/>
      <c r="F999" s="67"/>
      <c r="G999" s="67"/>
      <c r="H999" s="33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33"/>
      <c r="B1000" s="33"/>
      <c r="C1000" s="67"/>
      <c r="D1000" s="167"/>
      <c r="E1000" s="67"/>
      <c r="F1000" s="67"/>
      <c r="G1000" s="67"/>
      <c r="H1000" s="33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E1:G5"/>
    <mergeCell ref="A6:G6"/>
    <mergeCell ref="A7:G7"/>
  </mergeCells>
  <printOptions horizontalCentered="1"/>
  <pageMargins bottom="0.5905511811023623" footer="0.0" header="0.0" left="0.1968503937007874" right="0.1968503937007874" top="0.5905511811023623"/>
  <pageSetup paperSize="9" scale="80" orientation="portrait"/>
  <headerFooter>
    <oddHeader>&amp;R&amp;F Page &amp;P of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35.75"/>
    <col customWidth="1" min="3" max="3" width="11.25"/>
    <col customWidth="1" min="4" max="5" width="9.75"/>
    <col customWidth="1" min="6" max="6" width="15.13"/>
    <col customWidth="1" min="7" max="8" width="8.88"/>
    <col customWidth="1" min="9" max="9" width="10.63"/>
    <col customWidth="1" min="10" max="10" width="8.88"/>
    <col customWidth="1" min="11" max="26" width="8.63"/>
  </cols>
  <sheetData>
    <row r="1">
      <c r="A1" s="234"/>
      <c r="B1" s="235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</row>
    <row r="2">
      <c r="A2" s="234"/>
      <c r="B2" s="235"/>
      <c r="C2" s="235"/>
      <c r="D2" s="235"/>
      <c r="E2" s="235"/>
      <c r="F2" s="235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</row>
    <row r="3">
      <c r="A3" s="234"/>
      <c r="B3" s="235"/>
      <c r="C3" s="235"/>
      <c r="D3" s="235"/>
      <c r="E3" s="235"/>
      <c r="F3" s="235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</row>
    <row r="4">
      <c r="A4" s="234"/>
      <c r="B4" s="235"/>
      <c r="C4" s="235"/>
      <c r="D4" s="235"/>
      <c r="E4" s="235"/>
      <c r="F4" s="235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</row>
    <row r="5">
      <c r="A5" s="234"/>
      <c r="B5" s="235"/>
      <c r="C5" s="235"/>
      <c r="D5" s="235"/>
      <c r="E5" s="235"/>
      <c r="F5" s="235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</row>
    <row r="6">
      <c r="A6" s="236" t="s">
        <v>1700</v>
      </c>
      <c r="B6" s="216"/>
      <c r="C6" s="216"/>
      <c r="D6" s="216"/>
      <c r="E6" s="216"/>
      <c r="F6" s="216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</row>
    <row r="7">
      <c r="A7" s="237" t="s">
        <v>1701</v>
      </c>
      <c r="B7" s="75"/>
      <c r="C7" s="75"/>
      <c r="D7" s="75"/>
      <c r="E7" s="75"/>
      <c r="F7" s="76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</row>
    <row r="8">
      <c r="A8" s="238" t="s">
        <v>1571</v>
      </c>
      <c r="B8" s="239" t="s">
        <v>377</v>
      </c>
      <c r="C8" s="240" t="s">
        <v>378</v>
      </c>
      <c r="D8" s="239" t="s">
        <v>381</v>
      </c>
      <c r="E8" s="239" t="s">
        <v>1702</v>
      </c>
      <c r="F8" s="241" t="s">
        <v>382</v>
      </c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>
      <c r="A9" s="243" t="s">
        <v>1703</v>
      </c>
      <c r="B9" s="244"/>
      <c r="C9" s="244"/>
      <c r="D9" s="244"/>
      <c r="E9" s="244"/>
      <c r="F9" s="81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</row>
    <row r="10">
      <c r="A10" s="245" t="s">
        <v>1704</v>
      </c>
      <c r="B10" s="246" t="s">
        <v>1705</v>
      </c>
      <c r="C10" s="247" t="s">
        <v>1706</v>
      </c>
      <c r="D10" s="246">
        <v>5.0</v>
      </c>
      <c r="E10" s="246" t="s">
        <v>1707</v>
      </c>
      <c r="F10" s="248">
        <v>6.00397700019E12</v>
      </c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</row>
    <row r="11">
      <c r="A11" s="245" t="s">
        <v>1708</v>
      </c>
      <c r="B11" s="246" t="s">
        <v>1709</v>
      </c>
      <c r="C11" s="247" t="s">
        <v>1706</v>
      </c>
      <c r="D11" s="246">
        <v>5.0</v>
      </c>
      <c r="E11" s="246" t="s">
        <v>1707</v>
      </c>
      <c r="F11" s="248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</row>
    <row r="12" ht="28.5" customHeight="1">
      <c r="A12" s="249"/>
      <c r="B12" s="250" t="s">
        <v>1710</v>
      </c>
      <c r="C12" s="251" t="s">
        <v>1711</v>
      </c>
      <c r="D12" s="250" t="s">
        <v>1712</v>
      </c>
      <c r="E12" s="251" t="s">
        <v>1713</v>
      </c>
      <c r="F12" s="252" t="s">
        <v>1714</v>
      </c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>
      <c r="A13" s="245" t="s">
        <v>1704</v>
      </c>
      <c r="B13" s="254" t="s">
        <v>1715</v>
      </c>
      <c r="C13" s="255">
        <v>65.0</v>
      </c>
      <c r="D13" s="255">
        <v>74.75</v>
      </c>
      <c r="E13" s="255">
        <v>78.0</v>
      </c>
      <c r="F13" s="256">
        <v>81.25</v>
      </c>
      <c r="G13" s="257"/>
      <c r="H13" s="257"/>
      <c r="I13" s="257"/>
      <c r="J13" s="257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</row>
    <row r="14">
      <c r="A14" s="245" t="s">
        <v>1708</v>
      </c>
      <c r="B14" s="254" t="s">
        <v>1716</v>
      </c>
      <c r="C14" s="255">
        <v>60.0</v>
      </c>
      <c r="D14" s="255">
        <v>69.0</v>
      </c>
      <c r="E14" s="255">
        <v>72.0</v>
      </c>
      <c r="F14" s="256">
        <v>75.0</v>
      </c>
      <c r="G14" s="257"/>
      <c r="H14" s="257"/>
      <c r="I14" s="257"/>
      <c r="J14" s="257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>
      <c r="A15" s="258" t="s">
        <v>1717</v>
      </c>
      <c r="B15" s="259"/>
      <c r="C15" s="259"/>
      <c r="D15" s="259"/>
      <c r="E15" s="259"/>
      <c r="F15" s="114"/>
      <c r="G15" s="234"/>
      <c r="H15" s="234"/>
      <c r="I15" s="257"/>
      <c r="J15" s="257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</row>
    <row r="16">
      <c r="A16" s="260"/>
      <c r="B16" s="259"/>
      <c r="C16" s="259"/>
      <c r="D16" s="259"/>
      <c r="E16" s="259"/>
      <c r="F16" s="11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</row>
    <row r="17">
      <c r="A17" s="261" t="s">
        <v>1718</v>
      </c>
      <c r="B17" s="259"/>
      <c r="C17" s="259"/>
      <c r="D17" s="259"/>
      <c r="E17" s="259"/>
      <c r="F17" s="11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</row>
    <row r="18">
      <c r="A18" s="245" t="s">
        <v>1719</v>
      </c>
      <c r="B18" s="246" t="s">
        <v>1720</v>
      </c>
      <c r="C18" s="262">
        <v>172.0</v>
      </c>
      <c r="D18" s="246">
        <v>5.0</v>
      </c>
      <c r="E18" s="246" t="s">
        <v>1721</v>
      </c>
      <c r="F18" s="248">
        <v>6.003977000251E12</v>
      </c>
      <c r="G18" s="234"/>
      <c r="H18" s="257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</row>
    <row r="19">
      <c r="A19" s="263" t="s">
        <v>1722</v>
      </c>
      <c r="B19" s="264" t="s">
        <v>1723</v>
      </c>
      <c r="C19" s="262">
        <v>157.0</v>
      </c>
      <c r="D19" s="246">
        <v>5.0</v>
      </c>
      <c r="E19" s="246" t="s">
        <v>1721</v>
      </c>
      <c r="F19" s="265">
        <v>3.141725005127E12</v>
      </c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</row>
    <row r="20">
      <c r="A20" s="266"/>
      <c r="B20" s="267"/>
      <c r="C20" s="267"/>
      <c r="D20" s="267"/>
      <c r="E20" s="267"/>
      <c r="F20" s="268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</row>
    <row r="21" ht="15.75" customHeight="1">
      <c r="A21" s="261" t="s">
        <v>1724</v>
      </c>
      <c r="B21" s="259"/>
      <c r="C21" s="259"/>
      <c r="D21" s="259"/>
      <c r="E21" s="259"/>
      <c r="F21" s="11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</row>
    <row r="22" ht="15.75" customHeight="1">
      <c r="A22" s="269" t="s">
        <v>1725</v>
      </c>
      <c r="B22" s="270" t="s">
        <v>1726</v>
      </c>
      <c r="C22" s="271">
        <v>273.0</v>
      </c>
      <c r="D22" s="272">
        <v>1.0</v>
      </c>
      <c r="E22" s="273" t="s">
        <v>1727</v>
      </c>
      <c r="F22" s="274">
        <v>1.600960864093E13</v>
      </c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</row>
    <row r="23" ht="15.75" customHeight="1">
      <c r="A23" s="275" t="s">
        <v>1728</v>
      </c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</row>
    <row r="24" ht="15.75" customHeight="1">
      <c r="A24" s="275"/>
      <c r="B24" s="275"/>
      <c r="C24" s="275"/>
      <c r="D24" s="275"/>
      <c r="E24" s="275"/>
      <c r="F24" s="275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</row>
    <row r="25" ht="15.75" customHeight="1">
      <c r="A25" s="276" t="s">
        <v>1729</v>
      </c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</row>
    <row r="26" ht="15.75" customHeight="1">
      <c r="A26" s="276" t="s">
        <v>1730</v>
      </c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</row>
    <row r="27" ht="15.75" customHeight="1">
      <c r="A27" s="234"/>
      <c r="B27" s="277"/>
      <c r="C27" s="278"/>
      <c r="D27" s="279"/>
      <c r="E27" s="279"/>
      <c r="F27" s="279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</row>
    <row r="28" ht="15.75" customHeight="1">
      <c r="A28" s="234"/>
      <c r="B28" s="277"/>
      <c r="C28" s="278"/>
      <c r="D28" s="279"/>
      <c r="E28" s="279"/>
      <c r="F28" s="279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</row>
    <row r="29" ht="15.75" customHeight="1">
      <c r="A29" s="234"/>
      <c r="B29" s="277"/>
      <c r="C29" s="278"/>
      <c r="D29" s="279"/>
      <c r="E29" s="279"/>
      <c r="F29" s="279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</row>
    <row r="30" ht="15.75" customHeight="1">
      <c r="A30" s="234"/>
      <c r="B30" s="277"/>
      <c r="C30" s="278"/>
      <c r="D30" s="279"/>
      <c r="E30" s="279"/>
      <c r="F30" s="279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</row>
    <row r="31" ht="15.75" customHeight="1">
      <c r="A31" s="234"/>
      <c r="B31" s="277"/>
      <c r="C31" s="278"/>
      <c r="D31" s="279"/>
      <c r="E31" s="279"/>
      <c r="F31" s="279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</row>
    <row r="32" ht="15.75" customHeight="1">
      <c r="A32" s="234"/>
      <c r="B32" s="277"/>
      <c r="C32" s="278"/>
      <c r="D32" s="279"/>
      <c r="E32" s="279"/>
      <c r="F32" s="279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</row>
    <row r="33" ht="15.75" customHeight="1">
      <c r="A33" s="234"/>
      <c r="B33" s="277"/>
      <c r="C33" s="278"/>
      <c r="D33" s="279"/>
      <c r="E33" s="279"/>
      <c r="F33" s="279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</row>
    <row r="34" ht="15.75" customHeight="1">
      <c r="A34" s="234"/>
      <c r="B34" s="277"/>
      <c r="C34" s="278"/>
      <c r="D34" s="279"/>
      <c r="E34" s="279"/>
      <c r="F34" s="279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</row>
    <row r="35" ht="15.75" customHeight="1">
      <c r="A35" s="234"/>
      <c r="B35" s="277"/>
      <c r="C35" s="278"/>
      <c r="D35" s="279"/>
      <c r="E35" s="279"/>
      <c r="F35" s="279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</row>
    <row r="36" ht="15.75" customHeight="1">
      <c r="A36" s="234"/>
      <c r="B36" s="277"/>
      <c r="C36" s="278"/>
      <c r="D36" s="279"/>
      <c r="E36" s="279"/>
      <c r="F36" s="279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</row>
    <row r="37" ht="15.75" customHeight="1">
      <c r="A37" s="234"/>
      <c r="B37" s="277"/>
      <c r="C37" s="278"/>
      <c r="D37" s="279"/>
      <c r="E37" s="279"/>
      <c r="F37" s="279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</row>
    <row r="38" ht="15.75" customHeight="1">
      <c r="A38" s="234"/>
      <c r="B38" s="277"/>
      <c r="C38" s="278"/>
      <c r="D38" s="279"/>
      <c r="E38" s="279"/>
      <c r="F38" s="279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</row>
    <row r="39" ht="15.75" customHeight="1">
      <c r="A39" s="234"/>
      <c r="B39" s="277"/>
      <c r="C39" s="278"/>
      <c r="D39" s="279"/>
      <c r="E39" s="279"/>
      <c r="F39" s="279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</row>
    <row r="40" ht="15.75" customHeight="1">
      <c r="A40" s="234"/>
      <c r="B40" s="277"/>
      <c r="C40" s="278"/>
      <c r="D40" s="279"/>
      <c r="E40" s="279"/>
      <c r="F40" s="279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</row>
    <row r="41" ht="15.75" customHeight="1">
      <c r="A41" s="234"/>
      <c r="B41" s="277"/>
      <c r="C41" s="278"/>
      <c r="D41" s="279"/>
      <c r="E41" s="279"/>
      <c r="F41" s="279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</row>
    <row r="42" ht="15.75" customHeight="1">
      <c r="A42" s="234"/>
      <c r="B42" s="277"/>
      <c r="C42" s="278"/>
      <c r="D42" s="279"/>
      <c r="E42" s="279"/>
      <c r="F42" s="279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</row>
    <row r="43" ht="15.75" customHeight="1">
      <c r="A43" s="234"/>
      <c r="B43" s="277"/>
      <c r="C43" s="278"/>
      <c r="D43" s="279"/>
      <c r="E43" s="279"/>
      <c r="F43" s="279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</row>
    <row r="44" ht="15.75" customHeight="1">
      <c r="A44" s="234"/>
      <c r="B44" s="277"/>
      <c r="C44" s="278"/>
      <c r="D44" s="279"/>
      <c r="E44" s="279"/>
      <c r="F44" s="279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</row>
    <row r="45" ht="15.75" customHeight="1">
      <c r="A45" s="234"/>
      <c r="B45" s="277"/>
      <c r="C45" s="278"/>
      <c r="D45" s="279"/>
      <c r="E45" s="279"/>
      <c r="F45" s="279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</row>
    <row r="46" ht="15.75" customHeight="1">
      <c r="A46" s="234"/>
      <c r="B46" s="277"/>
      <c r="C46" s="278"/>
      <c r="D46" s="279"/>
      <c r="E46" s="279"/>
      <c r="F46" s="279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</row>
    <row r="47" ht="15.75" customHeight="1">
      <c r="A47" s="234"/>
      <c r="B47" s="277"/>
      <c r="C47" s="278"/>
      <c r="D47" s="279"/>
      <c r="E47" s="279"/>
      <c r="F47" s="279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</row>
    <row r="48" ht="15.75" customHeight="1">
      <c r="A48" s="234"/>
      <c r="B48" s="277"/>
      <c r="C48" s="278"/>
      <c r="D48" s="279"/>
      <c r="E48" s="279"/>
      <c r="F48" s="279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</row>
    <row r="49" ht="15.75" customHeight="1">
      <c r="A49" s="234"/>
      <c r="B49" s="277"/>
      <c r="C49" s="278"/>
      <c r="D49" s="279"/>
      <c r="E49" s="279"/>
      <c r="F49" s="279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</row>
    <row r="50" ht="15.75" customHeight="1">
      <c r="A50" s="234"/>
      <c r="B50" s="277"/>
      <c r="C50" s="278"/>
      <c r="D50" s="279"/>
      <c r="E50" s="279"/>
      <c r="F50" s="279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</row>
    <row r="51" ht="15.75" customHeight="1">
      <c r="A51" s="234"/>
      <c r="B51" s="277"/>
      <c r="C51" s="278"/>
      <c r="D51" s="279"/>
      <c r="E51" s="279"/>
      <c r="F51" s="279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</row>
    <row r="52" ht="15.75" customHeight="1">
      <c r="A52" s="234"/>
      <c r="B52" s="277"/>
      <c r="C52" s="278"/>
      <c r="D52" s="279"/>
      <c r="E52" s="279"/>
      <c r="F52" s="279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</row>
    <row r="53" ht="15.75" customHeight="1">
      <c r="A53" s="234"/>
      <c r="B53" s="277"/>
      <c r="C53" s="278"/>
      <c r="D53" s="279"/>
      <c r="E53" s="279"/>
      <c r="F53" s="279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</row>
    <row r="54" ht="15.75" customHeight="1">
      <c r="A54" s="234"/>
      <c r="B54" s="277"/>
      <c r="C54" s="278"/>
      <c r="D54" s="279"/>
      <c r="E54" s="279"/>
      <c r="F54" s="279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</row>
    <row r="55" ht="15.75" customHeight="1">
      <c r="A55" s="234"/>
      <c r="B55" s="277"/>
      <c r="C55" s="278"/>
      <c r="D55" s="279"/>
      <c r="E55" s="279"/>
      <c r="F55" s="279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</row>
    <row r="56" ht="15.75" customHeight="1">
      <c r="A56" s="234"/>
      <c r="B56" s="277"/>
      <c r="C56" s="278"/>
      <c r="D56" s="279"/>
      <c r="E56" s="279"/>
      <c r="F56" s="279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</row>
    <row r="57" ht="15.75" customHeight="1">
      <c r="A57" s="234"/>
      <c r="B57" s="277"/>
      <c r="C57" s="278"/>
      <c r="D57" s="279"/>
      <c r="E57" s="279"/>
      <c r="F57" s="279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</row>
    <row r="58" ht="15.75" customHeight="1">
      <c r="A58" s="234"/>
      <c r="B58" s="277"/>
      <c r="C58" s="278"/>
      <c r="D58" s="279"/>
      <c r="E58" s="279"/>
      <c r="F58" s="279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</row>
    <row r="59" ht="15.75" customHeight="1">
      <c r="A59" s="234"/>
      <c r="B59" s="277"/>
      <c r="C59" s="278"/>
      <c r="D59" s="279"/>
      <c r="E59" s="279"/>
      <c r="F59" s="279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</row>
    <row r="60" ht="15.75" customHeight="1">
      <c r="A60" s="234"/>
      <c r="B60" s="277"/>
      <c r="C60" s="278"/>
      <c r="D60" s="279"/>
      <c r="E60" s="279"/>
      <c r="F60" s="279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</row>
    <row r="61" ht="15.75" customHeight="1">
      <c r="A61" s="234"/>
      <c r="B61" s="277"/>
      <c r="C61" s="278"/>
      <c r="D61" s="279"/>
      <c r="E61" s="279"/>
      <c r="F61" s="279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</row>
    <row r="62" ht="15.75" customHeight="1">
      <c r="A62" s="234"/>
      <c r="B62" s="277"/>
      <c r="C62" s="278"/>
      <c r="D62" s="279"/>
      <c r="E62" s="279"/>
      <c r="F62" s="279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</row>
    <row r="63" ht="15.75" customHeight="1">
      <c r="A63" s="234"/>
      <c r="B63" s="277"/>
      <c r="C63" s="278"/>
      <c r="D63" s="279"/>
      <c r="E63" s="279"/>
      <c r="F63" s="279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</row>
    <row r="64" ht="15.75" customHeight="1">
      <c r="A64" s="234"/>
      <c r="B64" s="277"/>
      <c r="C64" s="278"/>
      <c r="D64" s="279"/>
      <c r="E64" s="279"/>
      <c r="F64" s="279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</row>
    <row r="65" ht="15.75" customHeight="1">
      <c r="A65" s="234"/>
      <c r="B65" s="277"/>
      <c r="C65" s="278"/>
      <c r="D65" s="279"/>
      <c r="E65" s="279"/>
      <c r="F65" s="279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</row>
    <row r="66" ht="15.75" customHeight="1">
      <c r="A66" s="234"/>
      <c r="B66" s="277"/>
      <c r="C66" s="278"/>
      <c r="D66" s="279"/>
      <c r="E66" s="279"/>
      <c r="F66" s="279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</row>
    <row r="67" ht="15.75" customHeight="1">
      <c r="A67" s="234"/>
      <c r="B67" s="277"/>
      <c r="C67" s="278"/>
      <c r="D67" s="279"/>
      <c r="E67" s="279"/>
      <c r="F67" s="279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</row>
    <row r="68" ht="15.75" customHeight="1">
      <c r="A68" s="234"/>
      <c r="B68" s="277"/>
      <c r="C68" s="278"/>
      <c r="D68" s="279"/>
      <c r="E68" s="279"/>
      <c r="F68" s="279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</row>
    <row r="69" ht="15.75" customHeight="1">
      <c r="A69" s="234"/>
      <c r="B69" s="277"/>
      <c r="C69" s="278"/>
      <c r="D69" s="279"/>
      <c r="E69" s="279"/>
      <c r="F69" s="279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</row>
    <row r="70" ht="15.75" customHeight="1">
      <c r="A70" s="234"/>
      <c r="B70" s="277"/>
      <c r="C70" s="278"/>
      <c r="D70" s="279"/>
      <c r="E70" s="279"/>
      <c r="F70" s="279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</row>
    <row r="71" ht="15.75" customHeight="1">
      <c r="A71" s="234"/>
      <c r="B71" s="277"/>
      <c r="C71" s="278"/>
      <c r="D71" s="279"/>
      <c r="E71" s="279"/>
      <c r="F71" s="279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</row>
    <row r="72" ht="15.75" customHeight="1">
      <c r="A72" s="234"/>
      <c r="B72" s="277"/>
      <c r="C72" s="278"/>
      <c r="D72" s="279"/>
      <c r="E72" s="279"/>
      <c r="F72" s="279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</row>
    <row r="73" ht="15.75" customHeight="1">
      <c r="A73" s="234"/>
      <c r="B73" s="277"/>
      <c r="C73" s="278"/>
      <c r="D73" s="279"/>
      <c r="E73" s="279"/>
      <c r="F73" s="279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</row>
    <row r="74" ht="15.75" customHeight="1">
      <c r="A74" s="234"/>
      <c r="B74" s="277"/>
      <c r="C74" s="278"/>
      <c r="D74" s="279"/>
      <c r="E74" s="279"/>
      <c r="F74" s="279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</row>
    <row r="75" ht="15.75" customHeight="1">
      <c r="A75" s="234"/>
      <c r="B75" s="277"/>
      <c r="C75" s="278"/>
      <c r="D75" s="279"/>
      <c r="E75" s="279"/>
      <c r="F75" s="279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</row>
    <row r="76" ht="15.75" customHeight="1">
      <c r="A76" s="234"/>
      <c r="B76" s="277"/>
      <c r="C76" s="278"/>
      <c r="D76" s="279"/>
      <c r="E76" s="279"/>
      <c r="F76" s="279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</row>
    <row r="77" ht="15.75" customHeight="1">
      <c r="A77" s="234"/>
      <c r="B77" s="277"/>
      <c r="C77" s="278"/>
      <c r="D77" s="279"/>
      <c r="E77" s="279"/>
      <c r="F77" s="279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</row>
    <row r="78" ht="15.75" customHeight="1">
      <c r="A78" s="234"/>
      <c r="B78" s="277"/>
      <c r="C78" s="278"/>
      <c r="D78" s="279"/>
      <c r="E78" s="279"/>
      <c r="F78" s="279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</row>
    <row r="79" ht="15.75" customHeight="1">
      <c r="A79" s="234"/>
      <c r="B79" s="277"/>
      <c r="C79" s="278"/>
      <c r="D79" s="279"/>
      <c r="E79" s="279"/>
      <c r="F79" s="279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</row>
    <row r="80" ht="15.75" customHeight="1">
      <c r="A80" s="234"/>
      <c r="B80" s="277"/>
      <c r="C80" s="278"/>
      <c r="D80" s="279"/>
      <c r="E80" s="279"/>
      <c r="F80" s="279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</row>
    <row r="81" ht="15.75" customHeight="1">
      <c r="A81" s="234"/>
      <c r="B81" s="277"/>
      <c r="C81" s="278"/>
      <c r="D81" s="279"/>
      <c r="E81" s="279"/>
      <c r="F81" s="279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</row>
    <row r="82" ht="15.75" customHeight="1">
      <c r="A82" s="234"/>
      <c r="B82" s="277"/>
      <c r="C82" s="278"/>
      <c r="D82" s="279"/>
      <c r="E82" s="279"/>
      <c r="F82" s="279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</row>
    <row r="83" ht="15.75" customHeight="1">
      <c r="A83" s="234"/>
      <c r="B83" s="277"/>
      <c r="C83" s="278"/>
      <c r="D83" s="279"/>
      <c r="E83" s="279"/>
      <c r="F83" s="279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</row>
    <row r="84" ht="15.75" customHeight="1">
      <c r="A84" s="234"/>
      <c r="B84" s="277"/>
      <c r="C84" s="278"/>
      <c r="D84" s="279"/>
      <c r="E84" s="279"/>
      <c r="F84" s="279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</row>
    <row r="85" ht="15.75" customHeight="1">
      <c r="A85" s="234"/>
      <c r="B85" s="277"/>
      <c r="C85" s="278"/>
      <c r="D85" s="279"/>
      <c r="E85" s="279"/>
      <c r="F85" s="279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</row>
    <row r="86" ht="15.75" customHeight="1">
      <c r="A86" s="234"/>
      <c r="B86" s="277"/>
      <c r="C86" s="278"/>
      <c r="D86" s="279"/>
      <c r="E86" s="279"/>
      <c r="F86" s="279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</row>
    <row r="87" ht="15.75" customHeight="1">
      <c r="A87" s="234"/>
      <c r="B87" s="277"/>
      <c r="C87" s="278"/>
      <c r="D87" s="279"/>
      <c r="E87" s="279"/>
      <c r="F87" s="279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</row>
    <row r="88" ht="15.75" customHeight="1">
      <c r="A88" s="234"/>
      <c r="B88" s="277"/>
      <c r="C88" s="278"/>
      <c r="D88" s="279"/>
      <c r="E88" s="279"/>
      <c r="F88" s="279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</row>
    <row r="89" ht="15.75" customHeight="1">
      <c r="A89" s="234"/>
      <c r="B89" s="277"/>
      <c r="C89" s="278"/>
      <c r="D89" s="279"/>
      <c r="E89" s="279"/>
      <c r="F89" s="279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</row>
    <row r="90" ht="15.75" customHeight="1">
      <c r="A90" s="234"/>
      <c r="B90" s="277"/>
      <c r="C90" s="278"/>
      <c r="D90" s="279"/>
      <c r="E90" s="279"/>
      <c r="F90" s="279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</row>
    <row r="91" ht="15.75" customHeight="1">
      <c r="A91" s="234"/>
      <c r="B91" s="277"/>
      <c r="C91" s="278"/>
      <c r="D91" s="279"/>
      <c r="E91" s="279"/>
      <c r="F91" s="279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</row>
    <row r="92" ht="15.75" customHeight="1">
      <c r="A92" s="234"/>
      <c r="B92" s="277"/>
      <c r="C92" s="278"/>
      <c r="D92" s="279"/>
      <c r="E92" s="279"/>
      <c r="F92" s="279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</row>
    <row r="93" ht="15.75" customHeight="1">
      <c r="A93" s="234"/>
      <c r="B93" s="277"/>
      <c r="C93" s="278"/>
      <c r="D93" s="279"/>
      <c r="E93" s="279"/>
      <c r="F93" s="279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</row>
    <row r="94" ht="15.75" customHeight="1">
      <c r="A94" s="234"/>
      <c r="B94" s="277"/>
      <c r="C94" s="278"/>
      <c r="D94" s="279"/>
      <c r="E94" s="279"/>
      <c r="F94" s="279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</row>
    <row r="95" ht="15.75" customHeight="1">
      <c r="A95" s="234"/>
      <c r="B95" s="277"/>
      <c r="C95" s="278"/>
      <c r="D95" s="279"/>
      <c r="E95" s="279"/>
      <c r="F95" s="279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</row>
    <row r="96" ht="15.75" customHeight="1">
      <c r="A96" s="234"/>
      <c r="B96" s="277"/>
      <c r="C96" s="278"/>
      <c r="D96" s="279"/>
      <c r="E96" s="279"/>
      <c r="F96" s="279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</row>
    <row r="97" ht="15.75" customHeight="1">
      <c r="A97" s="234"/>
      <c r="B97" s="277"/>
      <c r="C97" s="278"/>
      <c r="D97" s="279"/>
      <c r="E97" s="279"/>
      <c r="F97" s="279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</row>
    <row r="98" ht="15.75" customHeight="1">
      <c r="A98" s="234"/>
      <c r="B98" s="277"/>
      <c r="C98" s="278"/>
      <c r="D98" s="279"/>
      <c r="E98" s="279"/>
      <c r="F98" s="279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</row>
    <row r="99" ht="15.75" customHeight="1">
      <c r="A99" s="234"/>
      <c r="B99" s="277"/>
      <c r="C99" s="278"/>
      <c r="D99" s="279"/>
      <c r="E99" s="279"/>
      <c r="F99" s="279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</row>
    <row r="100" ht="15.75" customHeight="1">
      <c r="A100" s="234"/>
      <c r="B100" s="277"/>
      <c r="C100" s="278"/>
      <c r="D100" s="279"/>
      <c r="E100" s="279"/>
      <c r="F100" s="279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</row>
    <row r="101" ht="15.75" customHeight="1">
      <c r="A101" s="234"/>
      <c r="B101" s="277"/>
      <c r="C101" s="278"/>
      <c r="D101" s="279"/>
      <c r="E101" s="279"/>
      <c r="F101" s="279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</row>
    <row r="102" ht="15.75" customHeight="1">
      <c r="A102" s="234"/>
      <c r="B102" s="277"/>
      <c r="C102" s="278"/>
      <c r="D102" s="279"/>
      <c r="E102" s="279"/>
      <c r="F102" s="279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</row>
    <row r="103" ht="15.75" customHeight="1">
      <c r="A103" s="234"/>
      <c r="B103" s="277"/>
      <c r="C103" s="278"/>
      <c r="D103" s="279"/>
      <c r="E103" s="279"/>
      <c r="F103" s="279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</row>
    <row r="104" ht="15.75" customHeight="1">
      <c r="A104" s="234"/>
      <c r="B104" s="277"/>
      <c r="C104" s="278"/>
      <c r="D104" s="279"/>
      <c r="E104" s="279"/>
      <c r="F104" s="279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</row>
    <row r="105" ht="15.75" customHeight="1">
      <c r="A105" s="234"/>
      <c r="B105" s="277"/>
      <c r="C105" s="278"/>
      <c r="D105" s="279"/>
      <c r="E105" s="279"/>
      <c r="F105" s="279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</row>
    <row r="106" ht="15.75" customHeight="1">
      <c r="A106" s="234"/>
      <c r="B106" s="277"/>
      <c r="C106" s="278"/>
      <c r="D106" s="279"/>
      <c r="E106" s="279"/>
      <c r="F106" s="279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</row>
    <row r="107" ht="15.75" customHeight="1">
      <c r="A107" s="234"/>
      <c r="B107" s="277"/>
      <c r="C107" s="278"/>
      <c r="D107" s="279"/>
      <c r="E107" s="279"/>
      <c r="F107" s="279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</row>
    <row r="108" ht="15.75" customHeight="1">
      <c r="A108" s="234"/>
      <c r="B108" s="277"/>
      <c r="C108" s="278"/>
      <c r="D108" s="279"/>
      <c r="E108" s="279"/>
      <c r="F108" s="279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</row>
    <row r="109" ht="15.75" customHeight="1">
      <c r="A109" s="234"/>
      <c r="B109" s="277"/>
      <c r="C109" s="278"/>
      <c r="D109" s="279"/>
      <c r="E109" s="279"/>
      <c r="F109" s="279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</row>
    <row r="110" ht="15.75" customHeight="1">
      <c r="A110" s="234"/>
      <c r="B110" s="277"/>
      <c r="C110" s="278"/>
      <c r="D110" s="279"/>
      <c r="E110" s="279"/>
      <c r="F110" s="279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</row>
    <row r="111" ht="15.75" customHeight="1">
      <c r="A111" s="234"/>
      <c r="B111" s="277"/>
      <c r="C111" s="278"/>
      <c r="D111" s="279"/>
      <c r="E111" s="279"/>
      <c r="F111" s="279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</row>
    <row r="112" ht="15.75" customHeight="1">
      <c r="A112" s="234"/>
      <c r="B112" s="277"/>
      <c r="C112" s="278"/>
      <c r="D112" s="279"/>
      <c r="E112" s="279"/>
      <c r="F112" s="279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</row>
    <row r="113" ht="15.75" customHeight="1">
      <c r="A113" s="234"/>
      <c r="B113" s="277"/>
      <c r="C113" s="278"/>
      <c r="D113" s="279"/>
      <c r="E113" s="279"/>
      <c r="F113" s="279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</row>
    <row r="114" ht="15.75" customHeight="1">
      <c r="A114" s="234"/>
      <c r="B114" s="277"/>
      <c r="C114" s="278"/>
      <c r="D114" s="279"/>
      <c r="E114" s="279"/>
      <c r="F114" s="279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</row>
    <row r="115" ht="15.75" customHeight="1">
      <c r="A115" s="234"/>
      <c r="B115" s="277"/>
      <c r="C115" s="278"/>
      <c r="D115" s="279"/>
      <c r="E115" s="279"/>
      <c r="F115" s="279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</row>
    <row r="116" ht="15.75" customHeight="1">
      <c r="A116" s="234"/>
      <c r="B116" s="277"/>
      <c r="C116" s="278"/>
      <c r="D116" s="279"/>
      <c r="E116" s="279"/>
      <c r="F116" s="279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</row>
    <row r="117" ht="15.75" customHeight="1">
      <c r="A117" s="234"/>
      <c r="B117" s="277"/>
      <c r="C117" s="278"/>
      <c r="D117" s="279"/>
      <c r="E117" s="279"/>
      <c r="F117" s="279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</row>
    <row r="118" ht="15.75" customHeight="1">
      <c r="A118" s="234"/>
      <c r="B118" s="277"/>
      <c r="C118" s="278"/>
      <c r="D118" s="279"/>
      <c r="E118" s="279"/>
      <c r="F118" s="279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</row>
    <row r="119" ht="15.75" customHeight="1">
      <c r="A119" s="234"/>
      <c r="B119" s="277"/>
      <c r="C119" s="278"/>
      <c r="D119" s="279"/>
      <c r="E119" s="279"/>
      <c r="F119" s="279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</row>
    <row r="120" ht="15.75" customHeight="1">
      <c r="A120" s="234"/>
      <c r="B120" s="277"/>
      <c r="C120" s="278"/>
      <c r="D120" s="279"/>
      <c r="E120" s="279"/>
      <c r="F120" s="279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</row>
    <row r="121" ht="15.75" customHeight="1">
      <c r="A121" s="234"/>
      <c r="B121" s="277"/>
      <c r="C121" s="278"/>
      <c r="D121" s="279"/>
      <c r="E121" s="279"/>
      <c r="F121" s="279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</row>
    <row r="122" ht="15.75" customHeight="1">
      <c r="A122" s="234"/>
      <c r="B122" s="277"/>
      <c r="C122" s="278"/>
      <c r="D122" s="279"/>
      <c r="E122" s="279"/>
      <c r="F122" s="279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</row>
    <row r="123" ht="15.75" customHeight="1">
      <c r="A123" s="234"/>
      <c r="B123" s="277"/>
      <c r="C123" s="278"/>
      <c r="D123" s="279"/>
      <c r="E123" s="279"/>
      <c r="F123" s="279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</row>
    <row r="124" ht="15.75" customHeight="1">
      <c r="A124" s="234"/>
      <c r="B124" s="277"/>
      <c r="C124" s="278"/>
      <c r="D124" s="279"/>
      <c r="E124" s="279"/>
      <c r="F124" s="279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</row>
    <row r="125" ht="15.75" customHeight="1">
      <c r="A125" s="234"/>
      <c r="B125" s="277"/>
      <c r="C125" s="278"/>
      <c r="D125" s="279"/>
      <c r="E125" s="279"/>
      <c r="F125" s="279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</row>
    <row r="126" ht="15.75" customHeight="1">
      <c r="A126" s="234"/>
      <c r="B126" s="277"/>
      <c r="C126" s="278"/>
      <c r="D126" s="279"/>
      <c r="E126" s="279"/>
      <c r="F126" s="279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</row>
    <row r="127" ht="15.75" customHeight="1">
      <c r="A127" s="234"/>
      <c r="B127" s="277"/>
      <c r="C127" s="278"/>
      <c r="D127" s="279"/>
      <c r="E127" s="279"/>
      <c r="F127" s="279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</row>
    <row r="128" ht="15.75" customHeight="1">
      <c r="A128" s="234"/>
      <c r="B128" s="277"/>
      <c r="C128" s="278"/>
      <c r="D128" s="279"/>
      <c r="E128" s="279"/>
      <c r="F128" s="279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</row>
    <row r="129" ht="15.75" customHeight="1">
      <c r="A129" s="234"/>
      <c r="B129" s="277"/>
      <c r="C129" s="278"/>
      <c r="D129" s="279"/>
      <c r="E129" s="279"/>
      <c r="F129" s="279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</row>
    <row r="130" ht="15.75" customHeight="1">
      <c r="A130" s="234"/>
      <c r="B130" s="277"/>
      <c r="C130" s="278"/>
      <c r="D130" s="279"/>
      <c r="E130" s="279"/>
      <c r="F130" s="279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</row>
    <row r="131" ht="15.75" customHeight="1">
      <c r="A131" s="234"/>
      <c r="B131" s="277"/>
      <c r="C131" s="278"/>
      <c r="D131" s="279"/>
      <c r="E131" s="279"/>
      <c r="F131" s="279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</row>
    <row r="132" ht="15.75" customHeight="1">
      <c r="A132" s="234"/>
      <c r="B132" s="277"/>
      <c r="C132" s="278"/>
      <c r="D132" s="279"/>
      <c r="E132" s="279"/>
      <c r="F132" s="279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</row>
    <row r="133" ht="15.75" customHeight="1">
      <c r="A133" s="234"/>
      <c r="B133" s="277"/>
      <c r="C133" s="278"/>
      <c r="D133" s="279"/>
      <c r="E133" s="279"/>
      <c r="F133" s="279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</row>
    <row r="134" ht="15.75" customHeight="1">
      <c r="A134" s="234"/>
      <c r="B134" s="277"/>
      <c r="C134" s="278"/>
      <c r="D134" s="279"/>
      <c r="E134" s="279"/>
      <c r="F134" s="279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</row>
    <row r="135" ht="15.75" customHeight="1">
      <c r="A135" s="234"/>
      <c r="B135" s="277"/>
      <c r="C135" s="278"/>
      <c r="D135" s="279"/>
      <c r="E135" s="279"/>
      <c r="F135" s="279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</row>
    <row r="136" ht="15.75" customHeight="1">
      <c r="A136" s="234"/>
      <c r="B136" s="277"/>
      <c r="C136" s="278"/>
      <c r="D136" s="279"/>
      <c r="E136" s="279"/>
      <c r="F136" s="279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</row>
    <row r="137" ht="15.75" customHeight="1">
      <c r="A137" s="234"/>
      <c r="B137" s="277"/>
      <c r="C137" s="278"/>
      <c r="D137" s="279"/>
      <c r="E137" s="279"/>
      <c r="F137" s="279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</row>
    <row r="138" ht="15.75" customHeight="1">
      <c r="A138" s="234"/>
      <c r="B138" s="277"/>
      <c r="C138" s="278"/>
      <c r="D138" s="279"/>
      <c r="E138" s="279"/>
      <c r="F138" s="279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</row>
    <row r="139" ht="15.75" customHeight="1">
      <c r="A139" s="234"/>
      <c r="B139" s="277"/>
      <c r="C139" s="278"/>
      <c r="D139" s="279"/>
      <c r="E139" s="279"/>
      <c r="F139" s="279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</row>
    <row r="140" ht="15.75" customHeight="1">
      <c r="A140" s="234"/>
      <c r="B140" s="277"/>
      <c r="C140" s="278"/>
      <c r="D140" s="279"/>
      <c r="E140" s="279"/>
      <c r="F140" s="279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</row>
    <row r="141" ht="15.75" customHeight="1">
      <c r="A141" s="234"/>
      <c r="B141" s="277"/>
      <c r="C141" s="278"/>
      <c r="D141" s="279"/>
      <c r="E141" s="279"/>
      <c r="F141" s="279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</row>
    <row r="142" ht="15.75" customHeight="1">
      <c r="A142" s="234"/>
      <c r="B142" s="277"/>
      <c r="C142" s="278"/>
      <c r="D142" s="279"/>
      <c r="E142" s="279"/>
      <c r="F142" s="279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</row>
    <row r="143" ht="15.75" customHeight="1">
      <c r="A143" s="234"/>
      <c r="B143" s="277"/>
      <c r="C143" s="278"/>
      <c r="D143" s="279"/>
      <c r="E143" s="279"/>
      <c r="F143" s="279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</row>
    <row r="144" ht="15.75" customHeight="1">
      <c r="A144" s="234"/>
      <c r="B144" s="277"/>
      <c r="C144" s="278"/>
      <c r="D144" s="279"/>
      <c r="E144" s="279"/>
      <c r="F144" s="279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</row>
    <row r="145" ht="15.75" customHeight="1">
      <c r="A145" s="234"/>
      <c r="B145" s="277"/>
      <c r="C145" s="278"/>
      <c r="D145" s="279"/>
      <c r="E145" s="279"/>
      <c r="F145" s="279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</row>
    <row r="146" ht="15.75" customHeight="1">
      <c r="A146" s="234"/>
      <c r="B146" s="277"/>
      <c r="C146" s="278"/>
      <c r="D146" s="279"/>
      <c r="E146" s="279"/>
      <c r="F146" s="279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</row>
    <row r="147" ht="15.75" customHeight="1">
      <c r="A147" s="234"/>
      <c r="B147" s="277"/>
      <c r="C147" s="278"/>
      <c r="D147" s="279"/>
      <c r="E147" s="279"/>
      <c r="F147" s="279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</row>
    <row r="148" ht="15.75" customHeight="1">
      <c r="A148" s="234"/>
      <c r="B148" s="277"/>
      <c r="C148" s="278"/>
      <c r="D148" s="279"/>
      <c r="E148" s="279"/>
      <c r="F148" s="279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</row>
    <row r="149" ht="15.75" customHeight="1">
      <c r="A149" s="234"/>
      <c r="B149" s="277"/>
      <c r="C149" s="278"/>
      <c r="D149" s="279"/>
      <c r="E149" s="279"/>
      <c r="F149" s="279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</row>
    <row r="150" ht="15.75" customHeight="1">
      <c r="A150" s="234"/>
      <c r="B150" s="277"/>
      <c r="C150" s="278"/>
      <c r="D150" s="279"/>
      <c r="E150" s="279"/>
      <c r="F150" s="279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</row>
    <row r="151" ht="15.75" customHeight="1">
      <c r="A151" s="234"/>
      <c r="B151" s="277"/>
      <c r="C151" s="278"/>
      <c r="D151" s="279"/>
      <c r="E151" s="279"/>
      <c r="F151" s="279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</row>
    <row r="152" ht="15.75" customHeight="1">
      <c r="A152" s="234"/>
      <c r="B152" s="277"/>
      <c r="C152" s="278"/>
      <c r="D152" s="279"/>
      <c r="E152" s="279"/>
      <c r="F152" s="279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</row>
    <row r="153" ht="15.75" customHeight="1">
      <c r="A153" s="234"/>
      <c r="B153" s="277"/>
      <c r="C153" s="278"/>
      <c r="D153" s="279"/>
      <c r="E153" s="279"/>
      <c r="F153" s="279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</row>
    <row r="154" ht="15.75" customHeight="1">
      <c r="A154" s="234"/>
      <c r="B154" s="277"/>
      <c r="C154" s="278"/>
      <c r="D154" s="279"/>
      <c r="E154" s="279"/>
      <c r="F154" s="279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</row>
    <row r="155" ht="15.75" customHeight="1">
      <c r="A155" s="234"/>
      <c r="B155" s="277"/>
      <c r="C155" s="278"/>
      <c r="D155" s="279"/>
      <c r="E155" s="279"/>
      <c r="F155" s="279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</row>
    <row r="156" ht="15.75" customHeight="1">
      <c r="A156" s="234"/>
      <c r="B156" s="277"/>
      <c r="C156" s="278"/>
      <c r="D156" s="279"/>
      <c r="E156" s="279"/>
      <c r="F156" s="279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</row>
    <row r="157" ht="15.75" customHeight="1">
      <c r="A157" s="234"/>
      <c r="B157" s="277"/>
      <c r="C157" s="278"/>
      <c r="D157" s="279"/>
      <c r="E157" s="279"/>
      <c r="F157" s="279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</row>
    <row r="158" ht="15.75" customHeight="1">
      <c r="A158" s="234"/>
      <c r="B158" s="277"/>
      <c r="C158" s="278"/>
      <c r="D158" s="279"/>
      <c r="E158" s="279"/>
      <c r="F158" s="279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</row>
    <row r="159" ht="15.75" customHeight="1">
      <c r="A159" s="234"/>
      <c r="B159" s="277"/>
      <c r="C159" s="278"/>
      <c r="D159" s="279"/>
      <c r="E159" s="279"/>
      <c r="F159" s="279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</row>
    <row r="160" ht="15.75" customHeight="1">
      <c r="A160" s="234"/>
      <c r="B160" s="277"/>
      <c r="C160" s="278"/>
      <c r="D160" s="279"/>
      <c r="E160" s="279"/>
      <c r="F160" s="279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</row>
    <row r="161" ht="15.75" customHeight="1">
      <c r="A161" s="234"/>
      <c r="B161" s="277"/>
      <c r="C161" s="278"/>
      <c r="D161" s="279"/>
      <c r="E161" s="279"/>
      <c r="F161" s="279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</row>
    <row r="162" ht="15.75" customHeight="1">
      <c r="A162" s="234"/>
      <c r="B162" s="277"/>
      <c r="C162" s="278"/>
      <c r="D162" s="279"/>
      <c r="E162" s="279"/>
      <c r="F162" s="279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</row>
    <row r="163" ht="15.75" customHeight="1">
      <c r="A163" s="234"/>
      <c r="B163" s="277"/>
      <c r="C163" s="278"/>
      <c r="D163" s="279"/>
      <c r="E163" s="279"/>
      <c r="F163" s="279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</row>
    <row r="164" ht="15.75" customHeight="1">
      <c r="A164" s="234"/>
      <c r="B164" s="277"/>
      <c r="C164" s="278"/>
      <c r="D164" s="279"/>
      <c r="E164" s="279"/>
      <c r="F164" s="279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</row>
    <row r="165" ht="15.75" customHeight="1">
      <c r="A165" s="234"/>
      <c r="B165" s="277"/>
      <c r="C165" s="278"/>
      <c r="D165" s="279"/>
      <c r="E165" s="279"/>
      <c r="F165" s="279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</row>
    <row r="166" ht="15.75" customHeight="1">
      <c r="A166" s="234"/>
      <c r="B166" s="277"/>
      <c r="C166" s="278"/>
      <c r="D166" s="279"/>
      <c r="E166" s="279"/>
      <c r="F166" s="279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</row>
    <row r="167" ht="15.75" customHeight="1">
      <c r="A167" s="234"/>
      <c r="B167" s="277"/>
      <c r="C167" s="278"/>
      <c r="D167" s="279"/>
      <c r="E167" s="279"/>
      <c r="F167" s="279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</row>
    <row r="168" ht="15.75" customHeight="1">
      <c r="A168" s="234"/>
      <c r="B168" s="277"/>
      <c r="C168" s="278"/>
      <c r="D168" s="279"/>
      <c r="E168" s="279"/>
      <c r="F168" s="279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</row>
    <row r="169" ht="15.75" customHeight="1">
      <c r="A169" s="234"/>
      <c r="B169" s="277"/>
      <c r="C169" s="278"/>
      <c r="D169" s="279"/>
      <c r="E169" s="279"/>
      <c r="F169" s="279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</row>
    <row r="170" ht="15.75" customHeight="1">
      <c r="A170" s="234"/>
      <c r="B170" s="277"/>
      <c r="C170" s="278"/>
      <c r="D170" s="279"/>
      <c r="E170" s="279"/>
      <c r="F170" s="279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</row>
    <row r="171" ht="15.75" customHeight="1">
      <c r="A171" s="234"/>
      <c r="B171" s="277"/>
      <c r="C171" s="278"/>
      <c r="D171" s="279"/>
      <c r="E171" s="279"/>
      <c r="F171" s="279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</row>
    <row r="172" ht="15.75" customHeight="1">
      <c r="A172" s="234"/>
      <c r="B172" s="277"/>
      <c r="C172" s="278"/>
      <c r="D172" s="279"/>
      <c r="E172" s="279"/>
      <c r="F172" s="279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</row>
    <row r="173" ht="15.75" customHeight="1">
      <c r="A173" s="234"/>
      <c r="B173" s="277"/>
      <c r="C173" s="278"/>
      <c r="D173" s="279"/>
      <c r="E173" s="279"/>
      <c r="F173" s="279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</row>
    <row r="174" ht="15.75" customHeight="1">
      <c r="A174" s="234"/>
      <c r="B174" s="277"/>
      <c r="C174" s="278"/>
      <c r="D174" s="279"/>
      <c r="E174" s="279"/>
      <c r="F174" s="279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</row>
    <row r="175" ht="15.75" customHeight="1">
      <c r="A175" s="234"/>
      <c r="B175" s="277"/>
      <c r="C175" s="278"/>
      <c r="D175" s="279"/>
      <c r="E175" s="279"/>
      <c r="F175" s="279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</row>
    <row r="176" ht="15.75" customHeight="1">
      <c r="A176" s="234"/>
      <c r="B176" s="277"/>
      <c r="C176" s="278"/>
      <c r="D176" s="279"/>
      <c r="E176" s="279"/>
      <c r="F176" s="279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</row>
    <row r="177" ht="15.75" customHeight="1">
      <c r="A177" s="234"/>
      <c r="B177" s="277"/>
      <c r="C177" s="278"/>
      <c r="D177" s="279"/>
      <c r="E177" s="279"/>
      <c r="F177" s="279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</row>
    <row r="178" ht="15.75" customHeight="1">
      <c r="A178" s="234"/>
      <c r="B178" s="277"/>
      <c r="C178" s="278"/>
      <c r="D178" s="279"/>
      <c r="E178" s="279"/>
      <c r="F178" s="279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</row>
    <row r="179" ht="15.75" customHeight="1">
      <c r="A179" s="234"/>
      <c r="B179" s="277"/>
      <c r="C179" s="278"/>
      <c r="D179" s="279"/>
      <c r="E179" s="279"/>
      <c r="F179" s="279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</row>
    <row r="180" ht="15.75" customHeight="1">
      <c r="A180" s="234"/>
      <c r="B180" s="277"/>
      <c r="C180" s="278"/>
      <c r="D180" s="279"/>
      <c r="E180" s="279"/>
      <c r="F180" s="279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</row>
    <row r="181" ht="15.75" customHeight="1">
      <c r="A181" s="234"/>
      <c r="B181" s="277"/>
      <c r="C181" s="278"/>
      <c r="D181" s="279"/>
      <c r="E181" s="279"/>
      <c r="F181" s="279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</row>
    <row r="182" ht="15.75" customHeight="1">
      <c r="A182" s="234"/>
      <c r="B182" s="277"/>
      <c r="C182" s="278"/>
      <c r="D182" s="279"/>
      <c r="E182" s="279"/>
      <c r="F182" s="279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</row>
    <row r="183" ht="15.75" customHeight="1">
      <c r="A183" s="234"/>
      <c r="B183" s="277"/>
      <c r="C183" s="278"/>
      <c r="D183" s="279"/>
      <c r="E183" s="279"/>
      <c r="F183" s="279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</row>
    <row r="184" ht="15.75" customHeight="1">
      <c r="A184" s="234"/>
      <c r="B184" s="277"/>
      <c r="C184" s="278"/>
      <c r="D184" s="279"/>
      <c r="E184" s="279"/>
      <c r="F184" s="279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</row>
    <row r="185" ht="15.75" customHeight="1">
      <c r="A185" s="234"/>
      <c r="B185" s="277"/>
      <c r="C185" s="278"/>
      <c r="D185" s="279"/>
      <c r="E185" s="279"/>
      <c r="F185" s="279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</row>
    <row r="186" ht="15.75" customHeight="1">
      <c r="A186" s="234"/>
      <c r="B186" s="277"/>
      <c r="C186" s="278"/>
      <c r="D186" s="279"/>
      <c r="E186" s="279"/>
      <c r="F186" s="279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</row>
    <row r="187" ht="15.75" customHeight="1">
      <c r="A187" s="234"/>
      <c r="B187" s="277"/>
      <c r="C187" s="278"/>
      <c r="D187" s="279"/>
      <c r="E187" s="279"/>
      <c r="F187" s="279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</row>
    <row r="188" ht="15.75" customHeight="1">
      <c r="A188" s="234"/>
      <c r="B188" s="277"/>
      <c r="C188" s="278"/>
      <c r="D188" s="279"/>
      <c r="E188" s="279"/>
      <c r="F188" s="279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</row>
    <row r="189" ht="15.75" customHeight="1">
      <c r="A189" s="234"/>
      <c r="B189" s="277"/>
      <c r="C189" s="278"/>
      <c r="D189" s="279"/>
      <c r="E189" s="279"/>
      <c r="F189" s="279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</row>
    <row r="190" ht="15.75" customHeight="1">
      <c r="A190" s="234"/>
      <c r="B190" s="277"/>
      <c r="C190" s="278"/>
      <c r="D190" s="279"/>
      <c r="E190" s="279"/>
      <c r="F190" s="279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</row>
    <row r="191" ht="15.75" customHeight="1">
      <c r="A191" s="234"/>
      <c r="B191" s="277"/>
      <c r="C191" s="278"/>
      <c r="D191" s="279"/>
      <c r="E191" s="279"/>
      <c r="F191" s="279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</row>
    <row r="192" ht="15.75" customHeight="1">
      <c r="A192" s="234"/>
      <c r="B192" s="277"/>
      <c r="C192" s="278"/>
      <c r="D192" s="279"/>
      <c r="E192" s="279"/>
      <c r="F192" s="279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</row>
    <row r="193" ht="15.75" customHeight="1">
      <c r="A193" s="234"/>
      <c r="B193" s="277"/>
      <c r="C193" s="278"/>
      <c r="D193" s="279"/>
      <c r="E193" s="279"/>
      <c r="F193" s="279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</row>
    <row r="194" ht="15.75" customHeight="1">
      <c r="A194" s="234"/>
      <c r="B194" s="277"/>
      <c r="C194" s="278"/>
      <c r="D194" s="279"/>
      <c r="E194" s="279"/>
      <c r="F194" s="279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</row>
    <row r="195" ht="15.75" customHeight="1">
      <c r="A195" s="234"/>
      <c r="B195" s="277"/>
      <c r="C195" s="278"/>
      <c r="D195" s="279"/>
      <c r="E195" s="279"/>
      <c r="F195" s="279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</row>
    <row r="196" ht="15.75" customHeight="1">
      <c r="A196" s="234"/>
      <c r="B196" s="277"/>
      <c r="C196" s="278"/>
      <c r="D196" s="279"/>
      <c r="E196" s="279"/>
      <c r="F196" s="279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</row>
    <row r="197" ht="15.75" customHeight="1">
      <c r="A197" s="234"/>
      <c r="B197" s="277"/>
      <c r="C197" s="278"/>
      <c r="D197" s="279"/>
      <c r="E197" s="279"/>
      <c r="F197" s="279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</row>
    <row r="198" ht="15.75" customHeight="1">
      <c r="A198" s="234"/>
      <c r="B198" s="277"/>
      <c r="C198" s="278"/>
      <c r="D198" s="279"/>
      <c r="E198" s="279"/>
      <c r="F198" s="279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</row>
    <row r="199" ht="15.75" customHeight="1">
      <c r="A199" s="234"/>
      <c r="B199" s="277"/>
      <c r="C199" s="278"/>
      <c r="D199" s="279"/>
      <c r="E199" s="279"/>
      <c r="F199" s="279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</row>
    <row r="200" ht="15.75" customHeight="1">
      <c r="A200" s="234"/>
      <c r="B200" s="277"/>
      <c r="C200" s="278"/>
      <c r="D200" s="279"/>
      <c r="E200" s="279"/>
      <c r="F200" s="279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</row>
    <row r="201" ht="15.75" customHeight="1">
      <c r="A201" s="234"/>
      <c r="B201" s="277"/>
      <c r="C201" s="278"/>
      <c r="D201" s="279"/>
      <c r="E201" s="279"/>
      <c r="F201" s="279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</row>
    <row r="202" ht="15.75" customHeight="1">
      <c r="A202" s="234"/>
      <c r="B202" s="277"/>
      <c r="C202" s="278"/>
      <c r="D202" s="279"/>
      <c r="E202" s="279"/>
      <c r="F202" s="279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</row>
    <row r="203" ht="15.75" customHeight="1">
      <c r="A203" s="234"/>
      <c r="B203" s="277"/>
      <c r="C203" s="278"/>
      <c r="D203" s="279"/>
      <c r="E203" s="279"/>
      <c r="F203" s="279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</row>
    <row r="204" ht="15.75" customHeight="1">
      <c r="A204" s="234"/>
      <c r="B204" s="277"/>
      <c r="C204" s="278"/>
      <c r="D204" s="279"/>
      <c r="E204" s="279"/>
      <c r="F204" s="279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</row>
    <row r="205" ht="15.75" customHeight="1">
      <c r="A205" s="234"/>
      <c r="B205" s="277"/>
      <c r="C205" s="278"/>
      <c r="D205" s="279"/>
      <c r="E205" s="279"/>
      <c r="F205" s="279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</row>
    <row r="206" ht="15.75" customHeight="1">
      <c r="A206" s="234"/>
      <c r="B206" s="277"/>
      <c r="C206" s="278"/>
      <c r="D206" s="279"/>
      <c r="E206" s="279"/>
      <c r="F206" s="279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</row>
    <row r="207" ht="15.75" customHeight="1">
      <c r="A207" s="234"/>
      <c r="B207" s="277"/>
      <c r="C207" s="278"/>
      <c r="D207" s="279"/>
      <c r="E207" s="279"/>
      <c r="F207" s="279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</row>
    <row r="208" ht="15.75" customHeight="1">
      <c r="A208" s="234"/>
      <c r="B208" s="277"/>
      <c r="C208" s="278"/>
      <c r="D208" s="279"/>
      <c r="E208" s="279"/>
      <c r="F208" s="279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</row>
    <row r="209" ht="15.75" customHeight="1">
      <c r="A209" s="234"/>
      <c r="B209" s="277"/>
      <c r="C209" s="278"/>
      <c r="D209" s="279"/>
      <c r="E209" s="279"/>
      <c r="F209" s="279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</row>
    <row r="210" ht="15.75" customHeight="1">
      <c r="A210" s="234"/>
      <c r="B210" s="277"/>
      <c r="C210" s="278"/>
      <c r="D210" s="279"/>
      <c r="E210" s="279"/>
      <c r="F210" s="279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</row>
    <row r="211" ht="15.75" customHeight="1">
      <c r="A211" s="234"/>
      <c r="B211" s="277"/>
      <c r="C211" s="278"/>
      <c r="D211" s="279"/>
      <c r="E211" s="279"/>
      <c r="F211" s="279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</row>
    <row r="212" ht="15.75" customHeight="1">
      <c r="A212" s="234"/>
      <c r="B212" s="277"/>
      <c r="C212" s="278"/>
      <c r="D212" s="279"/>
      <c r="E212" s="279"/>
      <c r="F212" s="279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</row>
    <row r="213" ht="15.75" customHeight="1">
      <c r="A213" s="234"/>
      <c r="B213" s="277"/>
      <c r="C213" s="278"/>
      <c r="D213" s="279"/>
      <c r="E213" s="279"/>
      <c r="F213" s="279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</row>
    <row r="214" ht="15.75" customHeight="1">
      <c r="A214" s="234"/>
      <c r="B214" s="277"/>
      <c r="C214" s="278"/>
      <c r="D214" s="279"/>
      <c r="E214" s="279"/>
      <c r="F214" s="279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</row>
    <row r="215" ht="15.75" customHeight="1">
      <c r="A215" s="234"/>
      <c r="B215" s="277"/>
      <c r="C215" s="278"/>
      <c r="D215" s="279"/>
      <c r="E215" s="279"/>
      <c r="F215" s="279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</row>
    <row r="216" ht="15.75" customHeight="1">
      <c r="A216" s="234"/>
      <c r="B216" s="277"/>
      <c r="C216" s="278"/>
      <c r="D216" s="279"/>
      <c r="E216" s="279"/>
      <c r="F216" s="279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</row>
    <row r="217" ht="15.75" customHeight="1">
      <c r="A217" s="234"/>
      <c r="B217" s="277"/>
      <c r="C217" s="278"/>
      <c r="D217" s="279"/>
      <c r="E217" s="279"/>
      <c r="F217" s="279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</row>
    <row r="218" ht="15.75" customHeight="1">
      <c r="A218" s="234"/>
      <c r="B218" s="277"/>
      <c r="C218" s="278"/>
      <c r="D218" s="279"/>
      <c r="E218" s="279"/>
      <c r="F218" s="279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</row>
    <row r="219" ht="15.75" customHeight="1">
      <c r="A219" s="234"/>
      <c r="B219" s="277"/>
      <c r="C219" s="278"/>
      <c r="D219" s="279"/>
      <c r="E219" s="279"/>
      <c r="F219" s="279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</row>
    <row r="220" ht="15.75" customHeight="1">
      <c r="A220" s="234"/>
      <c r="B220" s="277"/>
      <c r="C220" s="278"/>
      <c r="D220" s="279"/>
      <c r="E220" s="279"/>
      <c r="F220" s="279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</row>
    <row r="221" ht="15.75" customHeight="1">
      <c r="A221" s="234"/>
      <c r="B221" s="277"/>
      <c r="C221" s="278"/>
      <c r="D221" s="279"/>
      <c r="E221" s="279"/>
      <c r="F221" s="279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</row>
    <row r="222" ht="15.75" customHeight="1">
      <c r="A222" s="234"/>
      <c r="B222" s="277"/>
      <c r="C222" s="278"/>
      <c r="D222" s="279"/>
      <c r="E222" s="279"/>
      <c r="F222" s="279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</row>
    <row r="223" ht="15.75" customHeight="1">
      <c r="A223" s="234"/>
      <c r="B223" s="277"/>
      <c r="C223" s="278"/>
      <c r="D223" s="279"/>
      <c r="E223" s="279"/>
      <c r="F223" s="279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</row>
    <row r="224" ht="15.75" customHeight="1">
      <c r="A224" s="234"/>
      <c r="B224" s="277"/>
      <c r="C224" s="278"/>
      <c r="D224" s="279"/>
      <c r="E224" s="279"/>
      <c r="F224" s="279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</row>
    <row r="225" ht="15.75" customHeight="1">
      <c r="A225" s="234"/>
      <c r="B225" s="277"/>
      <c r="C225" s="278"/>
      <c r="D225" s="279"/>
      <c r="E225" s="279"/>
      <c r="F225" s="279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</row>
    <row r="226" ht="15.75" customHeight="1">
      <c r="A226" s="234"/>
      <c r="B226" s="277"/>
      <c r="C226" s="278"/>
      <c r="D226" s="279"/>
      <c r="E226" s="279"/>
      <c r="F226" s="279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</row>
    <row r="227" ht="15.75" customHeight="1">
      <c r="A227" s="234"/>
      <c r="B227" s="277"/>
      <c r="C227" s="278"/>
      <c r="D227" s="279"/>
      <c r="E227" s="279"/>
      <c r="F227" s="279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</row>
    <row r="228" ht="15.75" customHeight="1">
      <c r="A228" s="234"/>
      <c r="B228" s="277"/>
      <c r="C228" s="278"/>
      <c r="D228" s="279"/>
      <c r="E228" s="279"/>
      <c r="F228" s="279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</row>
    <row r="229" ht="15.75" customHeight="1">
      <c r="A229" s="234"/>
      <c r="B229" s="277"/>
      <c r="C229" s="278"/>
      <c r="D229" s="279"/>
      <c r="E229" s="279"/>
      <c r="F229" s="279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</row>
    <row r="230" ht="15.75" customHeight="1">
      <c r="A230" s="234"/>
      <c r="B230" s="277"/>
      <c r="C230" s="278"/>
      <c r="D230" s="279"/>
      <c r="E230" s="279"/>
      <c r="F230" s="279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</row>
    <row r="231" ht="15.75" customHeight="1">
      <c r="A231" s="234"/>
      <c r="B231" s="277"/>
      <c r="C231" s="278"/>
      <c r="D231" s="279"/>
      <c r="E231" s="279"/>
      <c r="F231" s="279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</row>
    <row r="232" ht="15.75" customHeight="1">
      <c r="A232" s="234"/>
      <c r="B232" s="277"/>
      <c r="C232" s="278"/>
      <c r="D232" s="279"/>
      <c r="E232" s="279"/>
      <c r="F232" s="279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</row>
    <row r="233" ht="15.75" customHeight="1">
      <c r="A233" s="234"/>
      <c r="B233" s="277"/>
      <c r="C233" s="278"/>
      <c r="D233" s="279"/>
      <c r="E233" s="279"/>
      <c r="F233" s="279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</row>
    <row r="234" ht="15.75" customHeight="1">
      <c r="A234" s="234"/>
      <c r="B234" s="277"/>
      <c r="C234" s="278"/>
      <c r="D234" s="279"/>
      <c r="E234" s="279"/>
      <c r="F234" s="279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</row>
    <row r="235" ht="15.75" customHeight="1">
      <c r="A235" s="234"/>
      <c r="B235" s="277"/>
      <c r="C235" s="278"/>
      <c r="D235" s="279"/>
      <c r="E235" s="279"/>
      <c r="F235" s="279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</row>
    <row r="236" ht="15.75" customHeight="1">
      <c r="A236" s="234"/>
      <c r="B236" s="277"/>
      <c r="C236" s="278"/>
      <c r="D236" s="279"/>
      <c r="E236" s="279"/>
      <c r="F236" s="279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</row>
    <row r="237" ht="15.75" customHeight="1">
      <c r="A237" s="234"/>
      <c r="B237" s="277"/>
      <c r="C237" s="278"/>
      <c r="D237" s="279"/>
      <c r="E237" s="279"/>
      <c r="F237" s="279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</row>
    <row r="238" ht="15.75" customHeight="1">
      <c r="A238" s="234"/>
      <c r="B238" s="277"/>
      <c r="C238" s="278"/>
      <c r="D238" s="279"/>
      <c r="E238" s="279"/>
      <c r="F238" s="279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</row>
    <row r="239" ht="15.75" customHeight="1">
      <c r="A239" s="234"/>
      <c r="B239" s="277"/>
      <c r="C239" s="278"/>
      <c r="D239" s="279"/>
      <c r="E239" s="279"/>
      <c r="F239" s="279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</row>
    <row r="240" ht="15.75" customHeight="1">
      <c r="A240" s="234"/>
      <c r="B240" s="277"/>
      <c r="C240" s="278"/>
      <c r="D240" s="279"/>
      <c r="E240" s="279"/>
      <c r="F240" s="279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</row>
    <row r="241" ht="15.75" customHeight="1">
      <c r="A241" s="234"/>
      <c r="B241" s="277"/>
      <c r="C241" s="278"/>
      <c r="D241" s="279"/>
      <c r="E241" s="279"/>
      <c r="F241" s="279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</row>
    <row r="242" ht="15.75" customHeight="1">
      <c r="A242" s="234"/>
      <c r="B242" s="277"/>
      <c r="C242" s="278"/>
      <c r="D242" s="279"/>
      <c r="E242" s="279"/>
      <c r="F242" s="279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</row>
    <row r="243" ht="15.75" customHeight="1">
      <c r="A243" s="234"/>
      <c r="B243" s="277"/>
      <c r="C243" s="278"/>
      <c r="D243" s="279"/>
      <c r="E243" s="279"/>
      <c r="F243" s="279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</row>
    <row r="244" ht="15.75" customHeight="1">
      <c r="A244" s="234"/>
      <c r="B244" s="277"/>
      <c r="C244" s="278"/>
      <c r="D244" s="279"/>
      <c r="E244" s="279"/>
      <c r="F244" s="279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</row>
    <row r="245" ht="15.75" customHeight="1">
      <c r="A245" s="234"/>
      <c r="B245" s="277"/>
      <c r="C245" s="278"/>
      <c r="D245" s="279"/>
      <c r="E245" s="279"/>
      <c r="F245" s="279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</row>
    <row r="246" ht="15.75" customHeight="1">
      <c r="A246" s="234"/>
      <c r="B246" s="277"/>
      <c r="C246" s="278"/>
      <c r="D246" s="279"/>
      <c r="E246" s="279"/>
      <c r="F246" s="279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</row>
    <row r="247" ht="15.75" customHeight="1">
      <c r="A247" s="234"/>
      <c r="B247" s="277"/>
      <c r="C247" s="278"/>
      <c r="D247" s="279"/>
      <c r="E247" s="279"/>
      <c r="F247" s="279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</row>
    <row r="248" ht="15.75" customHeight="1">
      <c r="A248" s="234"/>
      <c r="B248" s="277"/>
      <c r="C248" s="278"/>
      <c r="D248" s="279"/>
      <c r="E248" s="279"/>
      <c r="F248" s="279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</row>
    <row r="249" ht="15.75" customHeight="1">
      <c r="A249" s="234"/>
      <c r="B249" s="277"/>
      <c r="C249" s="278"/>
      <c r="D249" s="279"/>
      <c r="E249" s="279"/>
      <c r="F249" s="279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</row>
    <row r="250" ht="15.75" customHeight="1">
      <c r="A250" s="234"/>
      <c r="B250" s="277"/>
      <c r="C250" s="278"/>
      <c r="D250" s="279"/>
      <c r="E250" s="279"/>
      <c r="F250" s="279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</row>
    <row r="251" ht="15.75" customHeight="1">
      <c r="A251" s="234"/>
      <c r="B251" s="277"/>
      <c r="C251" s="278"/>
      <c r="D251" s="279"/>
      <c r="E251" s="279"/>
      <c r="F251" s="279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</row>
    <row r="252" ht="15.75" customHeight="1">
      <c r="A252" s="234"/>
      <c r="B252" s="277"/>
      <c r="C252" s="278"/>
      <c r="D252" s="279"/>
      <c r="E252" s="279"/>
      <c r="F252" s="279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</row>
    <row r="253" ht="15.75" customHeight="1">
      <c r="A253" s="234"/>
      <c r="B253" s="277"/>
      <c r="C253" s="278"/>
      <c r="D253" s="279"/>
      <c r="E253" s="279"/>
      <c r="F253" s="279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</row>
    <row r="254" ht="15.75" customHeight="1">
      <c r="A254" s="234"/>
      <c r="B254" s="277"/>
      <c r="C254" s="278"/>
      <c r="D254" s="279"/>
      <c r="E254" s="279"/>
      <c r="F254" s="279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</row>
    <row r="255" ht="15.75" customHeight="1">
      <c r="A255" s="234"/>
      <c r="B255" s="277"/>
      <c r="C255" s="278"/>
      <c r="D255" s="279"/>
      <c r="E255" s="279"/>
      <c r="F255" s="279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</row>
    <row r="256" ht="15.75" customHeight="1">
      <c r="A256" s="234"/>
      <c r="B256" s="277"/>
      <c r="C256" s="278"/>
      <c r="D256" s="279"/>
      <c r="E256" s="279"/>
      <c r="F256" s="279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</row>
    <row r="257" ht="15.75" customHeight="1">
      <c r="A257" s="234"/>
      <c r="B257" s="277"/>
      <c r="C257" s="278"/>
      <c r="D257" s="279"/>
      <c r="E257" s="279"/>
      <c r="F257" s="279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</row>
    <row r="258" ht="15.75" customHeight="1">
      <c r="A258" s="234"/>
      <c r="B258" s="277"/>
      <c r="C258" s="278"/>
      <c r="D258" s="279"/>
      <c r="E258" s="279"/>
      <c r="F258" s="279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</row>
    <row r="259" ht="15.75" customHeight="1">
      <c r="A259" s="234"/>
      <c r="B259" s="277"/>
      <c r="C259" s="278"/>
      <c r="D259" s="279"/>
      <c r="E259" s="279"/>
      <c r="F259" s="279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</row>
    <row r="260" ht="15.75" customHeight="1">
      <c r="A260" s="234"/>
      <c r="B260" s="277"/>
      <c r="C260" s="278"/>
      <c r="D260" s="279"/>
      <c r="E260" s="279"/>
      <c r="F260" s="279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</row>
    <row r="261" ht="15.75" customHeight="1">
      <c r="A261" s="234"/>
      <c r="B261" s="277"/>
      <c r="C261" s="278"/>
      <c r="D261" s="279"/>
      <c r="E261" s="279"/>
      <c r="F261" s="279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</row>
    <row r="262" ht="15.75" customHeight="1">
      <c r="A262" s="234"/>
      <c r="B262" s="277"/>
      <c r="C262" s="278"/>
      <c r="D262" s="279"/>
      <c r="E262" s="279"/>
      <c r="F262" s="279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</row>
    <row r="263" ht="15.75" customHeight="1">
      <c r="A263" s="234"/>
      <c r="B263" s="277"/>
      <c r="C263" s="278"/>
      <c r="D263" s="279"/>
      <c r="E263" s="279"/>
      <c r="F263" s="279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</row>
    <row r="264" ht="15.75" customHeight="1">
      <c r="A264" s="234"/>
      <c r="B264" s="277"/>
      <c r="C264" s="278"/>
      <c r="D264" s="279"/>
      <c r="E264" s="279"/>
      <c r="F264" s="279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</row>
    <row r="265" ht="15.75" customHeight="1">
      <c r="A265" s="234"/>
      <c r="B265" s="277"/>
      <c r="C265" s="278"/>
      <c r="D265" s="279"/>
      <c r="E265" s="279"/>
      <c r="F265" s="279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</row>
    <row r="266" ht="15.75" customHeight="1">
      <c r="A266" s="234"/>
      <c r="B266" s="277"/>
      <c r="C266" s="278"/>
      <c r="D266" s="279"/>
      <c r="E266" s="279"/>
      <c r="F266" s="279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</row>
    <row r="267" ht="15.75" customHeight="1">
      <c r="A267" s="234"/>
      <c r="B267" s="277"/>
      <c r="C267" s="278"/>
      <c r="D267" s="279"/>
      <c r="E267" s="279"/>
      <c r="F267" s="279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</row>
    <row r="268" ht="15.75" customHeight="1">
      <c r="A268" s="234"/>
      <c r="B268" s="277"/>
      <c r="C268" s="278"/>
      <c r="D268" s="279"/>
      <c r="E268" s="279"/>
      <c r="F268" s="279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</row>
    <row r="269" ht="15.75" customHeight="1">
      <c r="A269" s="234"/>
      <c r="B269" s="277"/>
      <c r="C269" s="278"/>
      <c r="D269" s="279"/>
      <c r="E269" s="279"/>
      <c r="F269" s="279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</row>
    <row r="270" ht="15.75" customHeight="1">
      <c r="A270" s="234"/>
      <c r="B270" s="277"/>
      <c r="C270" s="278"/>
      <c r="D270" s="279"/>
      <c r="E270" s="279"/>
      <c r="F270" s="279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</row>
    <row r="271" ht="15.75" customHeight="1">
      <c r="A271" s="234"/>
      <c r="B271" s="277"/>
      <c r="C271" s="278"/>
      <c r="D271" s="279"/>
      <c r="E271" s="279"/>
      <c r="F271" s="279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</row>
    <row r="272" ht="15.75" customHeight="1">
      <c r="A272" s="234"/>
      <c r="B272" s="277"/>
      <c r="C272" s="278"/>
      <c r="D272" s="279"/>
      <c r="E272" s="279"/>
      <c r="F272" s="279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</row>
    <row r="273" ht="15.75" customHeight="1">
      <c r="A273" s="234"/>
      <c r="B273" s="277"/>
      <c r="C273" s="278"/>
      <c r="D273" s="279"/>
      <c r="E273" s="279"/>
      <c r="F273" s="279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</row>
    <row r="274" ht="15.75" customHeight="1">
      <c r="A274" s="234"/>
      <c r="B274" s="277"/>
      <c r="C274" s="278"/>
      <c r="D274" s="279"/>
      <c r="E274" s="279"/>
      <c r="F274" s="279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</row>
    <row r="275" ht="15.75" customHeight="1">
      <c r="A275" s="234"/>
      <c r="B275" s="277"/>
      <c r="C275" s="278"/>
      <c r="D275" s="279"/>
      <c r="E275" s="279"/>
      <c r="F275" s="279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</row>
    <row r="276" ht="15.75" customHeight="1">
      <c r="A276" s="234"/>
      <c r="B276" s="277"/>
      <c r="C276" s="278"/>
      <c r="D276" s="279"/>
      <c r="E276" s="279"/>
      <c r="F276" s="279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</row>
    <row r="277" ht="15.75" customHeight="1">
      <c r="A277" s="234"/>
      <c r="B277" s="277"/>
      <c r="C277" s="278"/>
      <c r="D277" s="279"/>
      <c r="E277" s="279"/>
      <c r="F277" s="279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</row>
    <row r="278" ht="15.75" customHeight="1">
      <c r="A278" s="234"/>
      <c r="B278" s="277"/>
      <c r="C278" s="278"/>
      <c r="D278" s="279"/>
      <c r="E278" s="279"/>
      <c r="F278" s="279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</row>
    <row r="279" ht="15.75" customHeight="1">
      <c r="A279" s="234"/>
      <c r="B279" s="277"/>
      <c r="C279" s="278"/>
      <c r="D279" s="279"/>
      <c r="E279" s="279"/>
      <c r="F279" s="279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</row>
    <row r="280" ht="15.75" customHeight="1">
      <c r="A280" s="234"/>
      <c r="B280" s="277"/>
      <c r="C280" s="278"/>
      <c r="D280" s="279"/>
      <c r="E280" s="279"/>
      <c r="F280" s="279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</row>
    <row r="281" ht="15.75" customHeight="1">
      <c r="A281" s="234"/>
      <c r="B281" s="277"/>
      <c r="C281" s="278"/>
      <c r="D281" s="279"/>
      <c r="E281" s="279"/>
      <c r="F281" s="279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</row>
    <row r="282" ht="15.75" customHeight="1">
      <c r="A282" s="234"/>
      <c r="B282" s="277"/>
      <c r="C282" s="278"/>
      <c r="D282" s="279"/>
      <c r="E282" s="279"/>
      <c r="F282" s="279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</row>
    <row r="283" ht="15.75" customHeight="1">
      <c r="A283" s="234"/>
      <c r="B283" s="277"/>
      <c r="C283" s="278"/>
      <c r="D283" s="279"/>
      <c r="E283" s="279"/>
      <c r="F283" s="279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</row>
    <row r="284" ht="15.75" customHeight="1">
      <c r="A284" s="234"/>
      <c r="B284" s="277"/>
      <c r="C284" s="278"/>
      <c r="D284" s="279"/>
      <c r="E284" s="279"/>
      <c r="F284" s="279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</row>
    <row r="285" ht="15.75" customHeight="1">
      <c r="A285" s="234"/>
      <c r="B285" s="277"/>
      <c r="C285" s="278"/>
      <c r="D285" s="279"/>
      <c r="E285" s="279"/>
      <c r="F285" s="279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</row>
    <row r="286" ht="15.75" customHeight="1">
      <c r="A286" s="234"/>
      <c r="B286" s="277"/>
      <c r="C286" s="278"/>
      <c r="D286" s="279"/>
      <c r="E286" s="279"/>
      <c r="F286" s="279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</row>
    <row r="287" ht="15.75" customHeight="1">
      <c r="A287" s="234"/>
      <c r="B287" s="277"/>
      <c r="C287" s="278"/>
      <c r="D287" s="279"/>
      <c r="E287" s="279"/>
      <c r="F287" s="279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</row>
    <row r="288" ht="15.75" customHeight="1">
      <c r="A288" s="234"/>
      <c r="B288" s="277"/>
      <c r="C288" s="278"/>
      <c r="D288" s="279"/>
      <c r="E288" s="279"/>
      <c r="F288" s="279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</row>
    <row r="289" ht="15.75" customHeight="1">
      <c r="A289" s="234"/>
      <c r="B289" s="277"/>
      <c r="C289" s="278"/>
      <c r="D289" s="279"/>
      <c r="E289" s="279"/>
      <c r="F289" s="279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</row>
    <row r="290" ht="15.75" customHeight="1">
      <c r="A290" s="234"/>
      <c r="B290" s="277"/>
      <c r="C290" s="278"/>
      <c r="D290" s="279"/>
      <c r="E290" s="279"/>
      <c r="F290" s="279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</row>
    <row r="291" ht="15.75" customHeight="1">
      <c r="A291" s="234"/>
      <c r="B291" s="277"/>
      <c r="C291" s="278"/>
      <c r="D291" s="279"/>
      <c r="E291" s="279"/>
      <c r="F291" s="279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</row>
    <row r="292" ht="15.75" customHeight="1">
      <c r="A292" s="234"/>
      <c r="B292" s="277"/>
      <c r="C292" s="278"/>
      <c r="D292" s="279"/>
      <c r="E292" s="279"/>
      <c r="F292" s="279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</row>
    <row r="293" ht="15.75" customHeight="1">
      <c r="A293" s="234"/>
      <c r="B293" s="277"/>
      <c r="C293" s="278"/>
      <c r="D293" s="279"/>
      <c r="E293" s="279"/>
      <c r="F293" s="279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</row>
    <row r="294" ht="15.75" customHeight="1">
      <c r="A294" s="234"/>
      <c r="B294" s="277"/>
      <c r="C294" s="278"/>
      <c r="D294" s="279"/>
      <c r="E294" s="279"/>
      <c r="F294" s="279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</row>
    <row r="295" ht="15.75" customHeight="1">
      <c r="A295" s="234"/>
      <c r="B295" s="277"/>
      <c r="C295" s="278"/>
      <c r="D295" s="279"/>
      <c r="E295" s="279"/>
      <c r="F295" s="279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</row>
    <row r="296" ht="15.75" customHeight="1">
      <c r="A296" s="234"/>
      <c r="B296" s="277"/>
      <c r="C296" s="278"/>
      <c r="D296" s="279"/>
      <c r="E296" s="279"/>
      <c r="F296" s="279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</row>
    <row r="297" ht="15.75" customHeight="1">
      <c r="A297" s="234"/>
      <c r="B297" s="277"/>
      <c r="C297" s="278"/>
      <c r="D297" s="279"/>
      <c r="E297" s="279"/>
      <c r="F297" s="279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</row>
    <row r="298" ht="15.75" customHeight="1">
      <c r="A298" s="234"/>
      <c r="B298" s="277"/>
      <c r="C298" s="278"/>
      <c r="D298" s="279"/>
      <c r="E298" s="279"/>
      <c r="F298" s="279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</row>
    <row r="299" ht="15.75" customHeight="1">
      <c r="A299" s="234"/>
      <c r="B299" s="277"/>
      <c r="C299" s="278"/>
      <c r="D299" s="279"/>
      <c r="E299" s="279"/>
      <c r="F299" s="279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</row>
    <row r="300" ht="15.75" customHeight="1">
      <c r="A300" s="234"/>
      <c r="B300" s="277"/>
      <c r="C300" s="278"/>
      <c r="D300" s="279"/>
      <c r="E300" s="279"/>
      <c r="F300" s="279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</row>
    <row r="301" ht="15.75" customHeight="1">
      <c r="A301" s="234"/>
      <c r="B301" s="277"/>
      <c r="C301" s="278"/>
      <c r="D301" s="279"/>
      <c r="E301" s="279"/>
      <c r="F301" s="279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</row>
    <row r="302" ht="15.75" customHeight="1">
      <c r="A302" s="234"/>
      <c r="B302" s="277"/>
      <c r="C302" s="278"/>
      <c r="D302" s="279"/>
      <c r="E302" s="279"/>
      <c r="F302" s="279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</row>
    <row r="303" ht="15.75" customHeight="1">
      <c r="A303" s="234"/>
      <c r="B303" s="277"/>
      <c r="C303" s="278"/>
      <c r="D303" s="279"/>
      <c r="E303" s="279"/>
      <c r="F303" s="279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</row>
    <row r="304" ht="15.75" customHeight="1">
      <c r="A304" s="234"/>
      <c r="B304" s="277"/>
      <c r="C304" s="278"/>
      <c r="D304" s="279"/>
      <c r="E304" s="279"/>
      <c r="F304" s="279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</row>
    <row r="305" ht="15.75" customHeight="1">
      <c r="A305" s="234"/>
      <c r="B305" s="277"/>
      <c r="C305" s="278"/>
      <c r="D305" s="279"/>
      <c r="E305" s="279"/>
      <c r="F305" s="279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</row>
    <row r="306" ht="15.75" customHeight="1">
      <c r="A306" s="234"/>
      <c r="B306" s="277"/>
      <c r="C306" s="278"/>
      <c r="D306" s="279"/>
      <c r="E306" s="279"/>
      <c r="F306" s="279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</row>
    <row r="307" ht="15.75" customHeight="1">
      <c r="A307" s="234"/>
      <c r="B307" s="277"/>
      <c r="C307" s="278"/>
      <c r="D307" s="279"/>
      <c r="E307" s="279"/>
      <c r="F307" s="279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</row>
    <row r="308" ht="15.75" customHeight="1">
      <c r="A308" s="234"/>
      <c r="B308" s="277"/>
      <c r="C308" s="278"/>
      <c r="D308" s="279"/>
      <c r="E308" s="279"/>
      <c r="F308" s="279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</row>
    <row r="309" ht="15.75" customHeight="1">
      <c r="A309" s="234"/>
      <c r="B309" s="277"/>
      <c r="C309" s="278"/>
      <c r="D309" s="279"/>
      <c r="E309" s="279"/>
      <c r="F309" s="279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</row>
    <row r="310" ht="15.75" customHeight="1">
      <c r="A310" s="234"/>
      <c r="B310" s="277"/>
      <c r="C310" s="278"/>
      <c r="D310" s="279"/>
      <c r="E310" s="279"/>
      <c r="F310" s="279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</row>
    <row r="311" ht="15.75" customHeight="1">
      <c r="A311" s="234"/>
      <c r="B311" s="277"/>
      <c r="C311" s="278"/>
      <c r="D311" s="279"/>
      <c r="E311" s="279"/>
      <c r="F311" s="279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</row>
    <row r="312" ht="15.75" customHeight="1">
      <c r="A312" s="234"/>
      <c r="B312" s="277"/>
      <c r="C312" s="278"/>
      <c r="D312" s="279"/>
      <c r="E312" s="279"/>
      <c r="F312" s="279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</row>
    <row r="313" ht="15.75" customHeight="1">
      <c r="A313" s="234"/>
      <c r="B313" s="277"/>
      <c r="C313" s="278"/>
      <c r="D313" s="279"/>
      <c r="E313" s="279"/>
      <c r="F313" s="279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</row>
    <row r="314" ht="15.75" customHeight="1">
      <c r="A314" s="234"/>
      <c r="B314" s="277"/>
      <c r="C314" s="278"/>
      <c r="D314" s="279"/>
      <c r="E314" s="279"/>
      <c r="F314" s="279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</row>
    <row r="315" ht="15.75" customHeight="1">
      <c r="A315" s="234"/>
      <c r="B315" s="277"/>
      <c r="C315" s="278"/>
      <c r="D315" s="279"/>
      <c r="E315" s="279"/>
      <c r="F315" s="279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</row>
    <row r="316" ht="15.75" customHeight="1">
      <c r="A316" s="234"/>
      <c r="B316" s="277"/>
      <c r="C316" s="278"/>
      <c r="D316" s="279"/>
      <c r="E316" s="279"/>
      <c r="F316" s="279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</row>
    <row r="317" ht="15.75" customHeight="1">
      <c r="A317" s="234"/>
      <c r="B317" s="277"/>
      <c r="C317" s="278"/>
      <c r="D317" s="279"/>
      <c r="E317" s="279"/>
      <c r="F317" s="279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</row>
    <row r="318" ht="15.75" customHeight="1">
      <c r="A318" s="234"/>
      <c r="B318" s="277"/>
      <c r="C318" s="278"/>
      <c r="D318" s="279"/>
      <c r="E318" s="279"/>
      <c r="F318" s="279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</row>
    <row r="319" ht="15.75" customHeight="1">
      <c r="A319" s="234"/>
      <c r="B319" s="277"/>
      <c r="C319" s="278"/>
      <c r="D319" s="279"/>
      <c r="E319" s="279"/>
      <c r="F319" s="279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</row>
    <row r="320" ht="15.75" customHeight="1">
      <c r="A320" s="234"/>
      <c r="B320" s="277"/>
      <c r="C320" s="278"/>
      <c r="D320" s="279"/>
      <c r="E320" s="279"/>
      <c r="F320" s="279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</row>
    <row r="321" ht="15.75" customHeight="1">
      <c r="A321" s="234"/>
      <c r="B321" s="277"/>
      <c r="C321" s="278"/>
      <c r="D321" s="279"/>
      <c r="E321" s="279"/>
      <c r="F321" s="279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</row>
    <row r="322" ht="15.75" customHeight="1">
      <c r="A322" s="234"/>
      <c r="B322" s="277"/>
      <c r="C322" s="278"/>
      <c r="D322" s="279"/>
      <c r="E322" s="279"/>
      <c r="F322" s="279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</row>
    <row r="323" ht="15.75" customHeight="1">
      <c r="A323" s="234"/>
      <c r="B323" s="277"/>
      <c r="C323" s="278"/>
      <c r="D323" s="279"/>
      <c r="E323" s="279"/>
      <c r="F323" s="279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</row>
    <row r="324" ht="15.75" customHeight="1">
      <c r="A324" s="234"/>
      <c r="B324" s="277"/>
      <c r="C324" s="278"/>
      <c r="D324" s="279"/>
      <c r="E324" s="279"/>
      <c r="F324" s="279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</row>
    <row r="325" ht="15.75" customHeight="1">
      <c r="A325" s="234"/>
      <c r="B325" s="277"/>
      <c r="C325" s="278"/>
      <c r="D325" s="279"/>
      <c r="E325" s="279"/>
      <c r="F325" s="279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</row>
    <row r="326" ht="15.75" customHeight="1">
      <c r="A326" s="234"/>
      <c r="B326" s="277"/>
      <c r="C326" s="278"/>
      <c r="D326" s="279"/>
      <c r="E326" s="279"/>
      <c r="F326" s="279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</row>
    <row r="327" ht="15.75" customHeight="1">
      <c r="A327" s="234"/>
      <c r="B327" s="277"/>
      <c r="C327" s="278"/>
      <c r="D327" s="279"/>
      <c r="E327" s="279"/>
      <c r="F327" s="279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</row>
    <row r="328" ht="15.75" customHeight="1">
      <c r="A328" s="234"/>
      <c r="B328" s="277"/>
      <c r="C328" s="278"/>
      <c r="D328" s="279"/>
      <c r="E328" s="279"/>
      <c r="F328" s="279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</row>
    <row r="329" ht="15.75" customHeight="1">
      <c r="A329" s="234"/>
      <c r="B329" s="277"/>
      <c r="C329" s="278"/>
      <c r="D329" s="279"/>
      <c r="E329" s="279"/>
      <c r="F329" s="279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</row>
    <row r="330" ht="15.75" customHeight="1">
      <c r="A330" s="234"/>
      <c r="B330" s="277"/>
      <c r="C330" s="278"/>
      <c r="D330" s="279"/>
      <c r="E330" s="279"/>
      <c r="F330" s="279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</row>
    <row r="331" ht="15.75" customHeight="1">
      <c r="A331" s="234"/>
      <c r="B331" s="277"/>
      <c r="C331" s="278"/>
      <c r="D331" s="279"/>
      <c r="E331" s="279"/>
      <c r="F331" s="279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</row>
    <row r="332" ht="15.75" customHeight="1">
      <c r="A332" s="234"/>
      <c r="B332" s="277"/>
      <c r="C332" s="278"/>
      <c r="D332" s="279"/>
      <c r="E332" s="279"/>
      <c r="F332" s="279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</row>
    <row r="333" ht="15.75" customHeight="1">
      <c r="A333" s="234"/>
      <c r="B333" s="277"/>
      <c r="C333" s="278"/>
      <c r="D333" s="279"/>
      <c r="E333" s="279"/>
      <c r="F333" s="279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</row>
    <row r="334" ht="15.75" customHeight="1">
      <c r="A334" s="234"/>
      <c r="B334" s="277"/>
      <c r="C334" s="278"/>
      <c r="D334" s="279"/>
      <c r="E334" s="279"/>
      <c r="F334" s="279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</row>
    <row r="335" ht="15.75" customHeight="1">
      <c r="A335" s="234"/>
      <c r="B335" s="277"/>
      <c r="C335" s="278"/>
      <c r="D335" s="279"/>
      <c r="E335" s="279"/>
      <c r="F335" s="279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</row>
    <row r="336" ht="15.75" customHeight="1">
      <c r="A336" s="234"/>
      <c r="B336" s="277"/>
      <c r="C336" s="278"/>
      <c r="D336" s="279"/>
      <c r="E336" s="279"/>
      <c r="F336" s="279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</row>
    <row r="337" ht="15.75" customHeight="1">
      <c r="A337" s="234"/>
      <c r="B337" s="277"/>
      <c r="C337" s="278"/>
      <c r="D337" s="279"/>
      <c r="E337" s="279"/>
      <c r="F337" s="279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</row>
    <row r="338" ht="15.75" customHeight="1">
      <c r="A338" s="234"/>
      <c r="B338" s="277"/>
      <c r="C338" s="278"/>
      <c r="D338" s="279"/>
      <c r="E338" s="279"/>
      <c r="F338" s="279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</row>
    <row r="339" ht="15.75" customHeight="1">
      <c r="A339" s="234"/>
      <c r="B339" s="277"/>
      <c r="C339" s="278"/>
      <c r="D339" s="279"/>
      <c r="E339" s="279"/>
      <c r="F339" s="279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</row>
    <row r="340" ht="15.75" customHeight="1">
      <c r="A340" s="234"/>
      <c r="B340" s="277"/>
      <c r="C340" s="278"/>
      <c r="D340" s="279"/>
      <c r="E340" s="279"/>
      <c r="F340" s="279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</row>
    <row r="341" ht="15.75" customHeight="1">
      <c r="A341" s="234"/>
      <c r="B341" s="277"/>
      <c r="C341" s="278"/>
      <c r="D341" s="279"/>
      <c r="E341" s="279"/>
      <c r="F341" s="279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</row>
    <row r="342" ht="15.75" customHeight="1">
      <c r="A342" s="234"/>
      <c r="B342" s="277"/>
      <c r="C342" s="278"/>
      <c r="D342" s="279"/>
      <c r="E342" s="279"/>
      <c r="F342" s="279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</row>
    <row r="343" ht="15.75" customHeight="1">
      <c r="A343" s="234"/>
      <c r="B343" s="277"/>
      <c r="C343" s="278"/>
      <c r="D343" s="279"/>
      <c r="E343" s="279"/>
      <c r="F343" s="279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</row>
    <row r="344" ht="15.75" customHeight="1">
      <c r="A344" s="234"/>
      <c r="B344" s="277"/>
      <c r="C344" s="278"/>
      <c r="D344" s="279"/>
      <c r="E344" s="279"/>
      <c r="F344" s="279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</row>
    <row r="345" ht="15.75" customHeight="1">
      <c r="A345" s="234"/>
      <c r="B345" s="277"/>
      <c r="C345" s="278"/>
      <c r="D345" s="279"/>
      <c r="E345" s="279"/>
      <c r="F345" s="279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</row>
    <row r="346" ht="15.75" customHeight="1">
      <c r="A346" s="234"/>
      <c r="B346" s="277"/>
      <c r="C346" s="278"/>
      <c r="D346" s="279"/>
      <c r="E346" s="279"/>
      <c r="F346" s="279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</row>
    <row r="347" ht="15.75" customHeight="1">
      <c r="A347" s="234"/>
      <c r="B347" s="277"/>
      <c r="C347" s="278"/>
      <c r="D347" s="279"/>
      <c r="E347" s="279"/>
      <c r="F347" s="279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</row>
    <row r="348" ht="15.75" customHeight="1">
      <c r="A348" s="234"/>
      <c r="B348" s="277"/>
      <c r="C348" s="278"/>
      <c r="D348" s="279"/>
      <c r="E348" s="279"/>
      <c r="F348" s="279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</row>
    <row r="349" ht="15.75" customHeight="1">
      <c r="A349" s="234"/>
      <c r="B349" s="277"/>
      <c r="C349" s="278"/>
      <c r="D349" s="279"/>
      <c r="E349" s="279"/>
      <c r="F349" s="279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</row>
    <row r="350" ht="15.75" customHeight="1">
      <c r="A350" s="234"/>
      <c r="B350" s="277"/>
      <c r="C350" s="278"/>
      <c r="D350" s="279"/>
      <c r="E350" s="279"/>
      <c r="F350" s="279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</row>
    <row r="351" ht="15.75" customHeight="1">
      <c r="A351" s="234"/>
      <c r="B351" s="277"/>
      <c r="C351" s="278"/>
      <c r="D351" s="279"/>
      <c r="E351" s="279"/>
      <c r="F351" s="279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</row>
    <row r="352" ht="15.75" customHeight="1">
      <c r="A352" s="234"/>
      <c r="B352" s="277"/>
      <c r="C352" s="278"/>
      <c r="D352" s="279"/>
      <c r="E352" s="279"/>
      <c r="F352" s="279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</row>
    <row r="353" ht="15.75" customHeight="1">
      <c r="A353" s="234"/>
      <c r="B353" s="277"/>
      <c r="C353" s="278"/>
      <c r="D353" s="279"/>
      <c r="E353" s="279"/>
      <c r="F353" s="279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</row>
    <row r="354" ht="15.75" customHeight="1">
      <c r="A354" s="234"/>
      <c r="B354" s="277"/>
      <c r="C354" s="278"/>
      <c r="D354" s="279"/>
      <c r="E354" s="279"/>
      <c r="F354" s="279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</row>
    <row r="355" ht="15.75" customHeight="1">
      <c r="A355" s="234"/>
      <c r="B355" s="277"/>
      <c r="C355" s="278"/>
      <c r="D355" s="279"/>
      <c r="E355" s="279"/>
      <c r="F355" s="279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</row>
    <row r="356" ht="15.75" customHeight="1">
      <c r="A356" s="234"/>
      <c r="B356" s="277"/>
      <c r="C356" s="278"/>
      <c r="D356" s="279"/>
      <c r="E356" s="279"/>
      <c r="F356" s="279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</row>
    <row r="357" ht="15.75" customHeight="1">
      <c r="A357" s="234"/>
      <c r="B357" s="277"/>
      <c r="C357" s="278"/>
      <c r="D357" s="279"/>
      <c r="E357" s="279"/>
      <c r="F357" s="279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</row>
    <row r="358" ht="15.75" customHeight="1">
      <c r="A358" s="234"/>
      <c r="B358" s="277"/>
      <c r="C358" s="278"/>
      <c r="D358" s="279"/>
      <c r="E358" s="279"/>
      <c r="F358" s="279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</row>
    <row r="359" ht="15.75" customHeight="1">
      <c r="A359" s="234"/>
      <c r="B359" s="277"/>
      <c r="C359" s="278"/>
      <c r="D359" s="279"/>
      <c r="E359" s="279"/>
      <c r="F359" s="279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</row>
    <row r="360" ht="15.75" customHeight="1">
      <c r="A360" s="234"/>
      <c r="B360" s="277"/>
      <c r="C360" s="278"/>
      <c r="D360" s="279"/>
      <c r="E360" s="279"/>
      <c r="F360" s="279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</row>
    <row r="361" ht="15.75" customHeight="1">
      <c r="A361" s="234"/>
      <c r="B361" s="277"/>
      <c r="C361" s="278"/>
      <c r="D361" s="279"/>
      <c r="E361" s="279"/>
      <c r="F361" s="279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</row>
    <row r="362" ht="15.75" customHeight="1">
      <c r="A362" s="234"/>
      <c r="B362" s="277"/>
      <c r="C362" s="278"/>
      <c r="D362" s="279"/>
      <c r="E362" s="279"/>
      <c r="F362" s="279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</row>
    <row r="363" ht="15.75" customHeight="1">
      <c r="A363" s="234"/>
      <c r="B363" s="277"/>
      <c r="C363" s="278"/>
      <c r="D363" s="279"/>
      <c r="E363" s="279"/>
      <c r="F363" s="279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</row>
    <row r="364" ht="15.75" customHeight="1">
      <c r="A364" s="234"/>
      <c r="B364" s="277"/>
      <c r="C364" s="278"/>
      <c r="D364" s="279"/>
      <c r="E364" s="279"/>
      <c r="F364" s="279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</row>
    <row r="365" ht="15.75" customHeight="1">
      <c r="A365" s="234"/>
      <c r="B365" s="277"/>
      <c r="C365" s="278"/>
      <c r="D365" s="279"/>
      <c r="E365" s="279"/>
      <c r="F365" s="279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</row>
    <row r="366" ht="15.75" customHeight="1">
      <c r="A366" s="234"/>
      <c r="B366" s="277"/>
      <c r="C366" s="278"/>
      <c r="D366" s="279"/>
      <c r="E366" s="279"/>
      <c r="F366" s="279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</row>
    <row r="367" ht="15.75" customHeight="1">
      <c r="A367" s="234"/>
      <c r="B367" s="277"/>
      <c r="C367" s="278"/>
      <c r="D367" s="279"/>
      <c r="E367" s="279"/>
      <c r="F367" s="279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</row>
    <row r="368" ht="15.75" customHeight="1">
      <c r="A368" s="234"/>
      <c r="B368" s="277"/>
      <c r="C368" s="278"/>
      <c r="D368" s="279"/>
      <c r="E368" s="279"/>
      <c r="F368" s="279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</row>
    <row r="369" ht="15.75" customHeight="1">
      <c r="A369" s="234"/>
      <c r="B369" s="277"/>
      <c r="C369" s="278"/>
      <c r="D369" s="279"/>
      <c r="E369" s="279"/>
      <c r="F369" s="279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</row>
    <row r="370" ht="15.75" customHeight="1">
      <c r="A370" s="234"/>
      <c r="B370" s="277"/>
      <c r="C370" s="278"/>
      <c r="D370" s="279"/>
      <c r="E370" s="279"/>
      <c r="F370" s="279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</row>
    <row r="371" ht="15.75" customHeight="1">
      <c r="A371" s="234"/>
      <c r="B371" s="277"/>
      <c r="C371" s="278"/>
      <c r="D371" s="279"/>
      <c r="E371" s="279"/>
      <c r="F371" s="279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</row>
    <row r="372" ht="15.75" customHeight="1">
      <c r="A372" s="234"/>
      <c r="B372" s="277"/>
      <c r="C372" s="278"/>
      <c r="D372" s="279"/>
      <c r="E372" s="279"/>
      <c r="F372" s="279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</row>
    <row r="373" ht="15.75" customHeight="1">
      <c r="A373" s="234"/>
      <c r="B373" s="277"/>
      <c r="C373" s="278"/>
      <c r="D373" s="279"/>
      <c r="E373" s="279"/>
      <c r="F373" s="279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</row>
    <row r="374" ht="15.75" customHeight="1">
      <c r="A374" s="234"/>
      <c r="B374" s="277"/>
      <c r="C374" s="278"/>
      <c r="D374" s="279"/>
      <c r="E374" s="279"/>
      <c r="F374" s="279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</row>
    <row r="375" ht="15.75" customHeight="1">
      <c r="A375" s="234"/>
      <c r="B375" s="277"/>
      <c r="C375" s="278"/>
      <c r="D375" s="279"/>
      <c r="E375" s="279"/>
      <c r="F375" s="279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</row>
    <row r="376" ht="15.75" customHeight="1">
      <c r="A376" s="234"/>
      <c r="B376" s="277"/>
      <c r="C376" s="278"/>
      <c r="D376" s="279"/>
      <c r="E376" s="279"/>
      <c r="F376" s="279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</row>
    <row r="377" ht="15.75" customHeight="1">
      <c r="A377" s="234"/>
      <c r="B377" s="277"/>
      <c r="C377" s="278"/>
      <c r="D377" s="279"/>
      <c r="E377" s="279"/>
      <c r="F377" s="279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</row>
    <row r="378" ht="15.75" customHeight="1">
      <c r="A378" s="234"/>
      <c r="B378" s="277"/>
      <c r="C378" s="278"/>
      <c r="D378" s="279"/>
      <c r="E378" s="279"/>
      <c r="F378" s="279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</row>
    <row r="379" ht="15.75" customHeight="1">
      <c r="A379" s="234"/>
      <c r="B379" s="277"/>
      <c r="C379" s="278"/>
      <c r="D379" s="279"/>
      <c r="E379" s="279"/>
      <c r="F379" s="279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</row>
    <row r="380" ht="15.75" customHeight="1">
      <c r="A380" s="234"/>
      <c r="B380" s="277"/>
      <c r="C380" s="278"/>
      <c r="D380" s="279"/>
      <c r="E380" s="279"/>
      <c r="F380" s="279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</row>
    <row r="381" ht="15.75" customHeight="1">
      <c r="A381" s="234"/>
      <c r="B381" s="277"/>
      <c r="C381" s="278"/>
      <c r="D381" s="279"/>
      <c r="E381" s="279"/>
      <c r="F381" s="279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</row>
    <row r="382" ht="15.75" customHeight="1">
      <c r="A382" s="234"/>
      <c r="B382" s="277"/>
      <c r="C382" s="278"/>
      <c r="D382" s="279"/>
      <c r="E382" s="279"/>
      <c r="F382" s="279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</row>
    <row r="383" ht="15.75" customHeight="1">
      <c r="A383" s="234"/>
      <c r="B383" s="277"/>
      <c r="C383" s="278"/>
      <c r="D383" s="279"/>
      <c r="E383" s="279"/>
      <c r="F383" s="279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</row>
    <row r="384" ht="15.75" customHeight="1">
      <c r="A384" s="234"/>
      <c r="B384" s="277"/>
      <c r="C384" s="278"/>
      <c r="D384" s="279"/>
      <c r="E384" s="279"/>
      <c r="F384" s="279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</row>
    <row r="385" ht="15.75" customHeight="1">
      <c r="A385" s="234"/>
      <c r="B385" s="277"/>
      <c r="C385" s="278"/>
      <c r="D385" s="279"/>
      <c r="E385" s="279"/>
      <c r="F385" s="279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</row>
    <row r="386" ht="15.75" customHeight="1">
      <c r="A386" s="234"/>
      <c r="B386" s="277"/>
      <c r="C386" s="278"/>
      <c r="D386" s="279"/>
      <c r="E386" s="279"/>
      <c r="F386" s="279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</row>
    <row r="387" ht="15.75" customHeight="1">
      <c r="A387" s="234"/>
      <c r="B387" s="277"/>
      <c r="C387" s="278"/>
      <c r="D387" s="279"/>
      <c r="E387" s="279"/>
      <c r="F387" s="279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</row>
    <row r="388" ht="15.75" customHeight="1">
      <c r="A388" s="234"/>
      <c r="B388" s="277"/>
      <c r="C388" s="278"/>
      <c r="D388" s="279"/>
      <c r="E388" s="279"/>
      <c r="F388" s="279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</row>
    <row r="389" ht="15.75" customHeight="1">
      <c r="A389" s="234"/>
      <c r="B389" s="277"/>
      <c r="C389" s="278"/>
      <c r="D389" s="279"/>
      <c r="E389" s="279"/>
      <c r="F389" s="279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</row>
    <row r="390" ht="15.75" customHeight="1">
      <c r="A390" s="234"/>
      <c r="B390" s="277"/>
      <c r="C390" s="278"/>
      <c r="D390" s="279"/>
      <c r="E390" s="279"/>
      <c r="F390" s="279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</row>
    <row r="391" ht="15.75" customHeight="1">
      <c r="A391" s="234"/>
      <c r="B391" s="277"/>
      <c r="C391" s="278"/>
      <c r="D391" s="279"/>
      <c r="E391" s="279"/>
      <c r="F391" s="279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</row>
    <row r="392" ht="15.75" customHeight="1">
      <c r="A392" s="234"/>
      <c r="B392" s="277"/>
      <c r="C392" s="278"/>
      <c r="D392" s="279"/>
      <c r="E392" s="279"/>
      <c r="F392" s="279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</row>
    <row r="393" ht="15.75" customHeight="1">
      <c r="A393" s="234"/>
      <c r="B393" s="277"/>
      <c r="C393" s="278"/>
      <c r="D393" s="279"/>
      <c r="E393" s="279"/>
      <c r="F393" s="279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</row>
    <row r="394" ht="15.75" customHeight="1">
      <c r="A394" s="234"/>
      <c r="B394" s="277"/>
      <c r="C394" s="278"/>
      <c r="D394" s="279"/>
      <c r="E394" s="279"/>
      <c r="F394" s="279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</row>
    <row r="395" ht="15.75" customHeight="1">
      <c r="A395" s="234"/>
      <c r="B395" s="277"/>
      <c r="C395" s="278"/>
      <c r="D395" s="279"/>
      <c r="E395" s="279"/>
      <c r="F395" s="279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</row>
    <row r="396" ht="15.75" customHeight="1">
      <c r="A396" s="234"/>
      <c r="B396" s="277"/>
      <c r="C396" s="278"/>
      <c r="D396" s="279"/>
      <c r="E396" s="279"/>
      <c r="F396" s="279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</row>
    <row r="397" ht="15.75" customHeight="1">
      <c r="A397" s="234"/>
      <c r="B397" s="277"/>
      <c r="C397" s="278"/>
      <c r="D397" s="279"/>
      <c r="E397" s="279"/>
      <c r="F397" s="279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</row>
    <row r="398" ht="15.75" customHeight="1">
      <c r="A398" s="234"/>
      <c r="B398" s="277"/>
      <c r="C398" s="278"/>
      <c r="D398" s="279"/>
      <c r="E398" s="279"/>
      <c r="F398" s="279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</row>
    <row r="399" ht="15.75" customHeight="1">
      <c r="A399" s="234"/>
      <c r="B399" s="277"/>
      <c r="C399" s="278"/>
      <c r="D399" s="279"/>
      <c r="E399" s="279"/>
      <c r="F399" s="279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</row>
    <row r="400" ht="15.75" customHeight="1">
      <c r="A400" s="234"/>
      <c r="B400" s="277"/>
      <c r="C400" s="278"/>
      <c r="D400" s="279"/>
      <c r="E400" s="279"/>
      <c r="F400" s="279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</row>
    <row r="401" ht="15.75" customHeight="1">
      <c r="A401" s="234"/>
      <c r="B401" s="277"/>
      <c r="C401" s="278"/>
      <c r="D401" s="279"/>
      <c r="E401" s="279"/>
      <c r="F401" s="279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</row>
    <row r="402" ht="15.75" customHeight="1">
      <c r="A402" s="234"/>
      <c r="B402" s="277"/>
      <c r="C402" s="278"/>
      <c r="D402" s="279"/>
      <c r="E402" s="279"/>
      <c r="F402" s="279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</row>
    <row r="403" ht="15.75" customHeight="1">
      <c r="A403" s="234"/>
      <c r="B403" s="277"/>
      <c r="C403" s="278"/>
      <c r="D403" s="279"/>
      <c r="E403" s="279"/>
      <c r="F403" s="279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</row>
    <row r="404" ht="15.75" customHeight="1">
      <c r="A404" s="234"/>
      <c r="B404" s="277"/>
      <c r="C404" s="278"/>
      <c r="D404" s="279"/>
      <c r="E404" s="279"/>
      <c r="F404" s="279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</row>
    <row r="405" ht="15.75" customHeight="1">
      <c r="A405" s="234"/>
      <c r="B405" s="277"/>
      <c r="C405" s="278"/>
      <c r="D405" s="279"/>
      <c r="E405" s="279"/>
      <c r="F405" s="279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</row>
    <row r="406" ht="15.75" customHeight="1">
      <c r="A406" s="234"/>
      <c r="B406" s="277"/>
      <c r="C406" s="278"/>
      <c r="D406" s="279"/>
      <c r="E406" s="279"/>
      <c r="F406" s="279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</row>
    <row r="407" ht="15.75" customHeight="1">
      <c r="A407" s="234"/>
      <c r="B407" s="277"/>
      <c r="C407" s="278"/>
      <c r="D407" s="279"/>
      <c r="E407" s="279"/>
      <c r="F407" s="279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</row>
    <row r="408" ht="15.75" customHeight="1">
      <c r="A408" s="234"/>
      <c r="B408" s="277"/>
      <c r="C408" s="278"/>
      <c r="D408" s="279"/>
      <c r="E408" s="279"/>
      <c r="F408" s="279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</row>
    <row r="409" ht="15.75" customHeight="1">
      <c r="A409" s="234"/>
      <c r="B409" s="277"/>
      <c r="C409" s="278"/>
      <c r="D409" s="279"/>
      <c r="E409" s="279"/>
      <c r="F409" s="279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</row>
    <row r="410" ht="15.75" customHeight="1">
      <c r="A410" s="234"/>
      <c r="B410" s="277"/>
      <c r="C410" s="278"/>
      <c r="D410" s="279"/>
      <c r="E410" s="279"/>
      <c r="F410" s="279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</row>
    <row r="411" ht="15.75" customHeight="1">
      <c r="A411" s="234"/>
      <c r="B411" s="277"/>
      <c r="C411" s="278"/>
      <c r="D411" s="279"/>
      <c r="E411" s="279"/>
      <c r="F411" s="279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</row>
    <row r="412" ht="15.75" customHeight="1">
      <c r="A412" s="234"/>
      <c r="B412" s="277"/>
      <c r="C412" s="278"/>
      <c r="D412" s="279"/>
      <c r="E412" s="279"/>
      <c r="F412" s="279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</row>
    <row r="413" ht="15.75" customHeight="1">
      <c r="A413" s="234"/>
      <c r="B413" s="277"/>
      <c r="C413" s="278"/>
      <c r="D413" s="279"/>
      <c r="E413" s="279"/>
      <c r="F413" s="279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</row>
    <row r="414" ht="15.75" customHeight="1">
      <c r="A414" s="234"/>
      <c r="B414" s="277"/>
      <c r="C414" s="278"/>
      <c r="D414" s="279"/>
      <c r="E414" s="279"/>
      <c r="F414" s="279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</row>
    <row r="415" ht="15.75" customHeight="1">
      <c r="A415" s="234"/>
      <c r="B415" s="277"/>
      <c r="C415" s="278"/>
      <c r="D415" s="279"/>
      <c r="E415" s="279"/>
      <c r="F415" s="279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</row>
    <row r="416" ht="15.75" customHeight="1">
      <c r="A416" s="234"/>
      <c r="B416" s="277"/>
      <c r="C416" s="278"/>
      <c r="D416" s="279"/>
      <c r="E416" s="279"/>
      <c r="F416" s="279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</row>
    <row r="417" ht="15.75" customHeight="1">
      <c r="A417" s="234"/>
      <c r="B417" s="277"/>
      <c r="C417" s="278"/>
      <c r="D417" s="279"/>
      <c r="E417" s="279"/>
      <c r="F417" s="279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</row>
    <row r="418" ht="15.75" customHeight="1">
      <c r="A418" s="234"/>
      <c r="B418" s="277"/>
      <c r="C418" s="278"/>
      <c r="D418" s="279"/>
      <c r="E418" s="279"/>
      <c r="F418" s="279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</row>
    <row r="419" ht="15.75" customHeight="1">
      <c r="A419" s="234"/>
      <c r="B419" s="277"/>
      <c r="C419" s="278"/>
      <c r="D419" s="279"/>
      <c r="E419" s="279"/>
      <c r="F419" s="279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</row>
    <row r="420" ht="15.75" customHeight="1">
      <c r="A420" s="234"/>
      <c r="B420" s="277"/>
      <c r="C420" s="278"/>
      <c r="D420" s="279"/>
      <c r="E420" s="279"/>
      <c r="F420" s="279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</row>
    <row r="421" ht="15.75" customHeight="1">
      <c r="A421" s="234"/>
      <c r="B421" s="277"/>
      <c r="C421" s="278"/>
      <c r="D421" s="279"/>
      <c r="E421" s="279"/>
      <c r="F421" s="279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</row>
    <row r="422" ht="15.75" customHeight="1">
      <c r="A422" s="234"/>
      <c r="B422" s="277"/>
      <c r="C422" s="278"/>
      <c r="D422" s="279"/>
      <c r="E422" s="279"/>
      <c r="F422" s="279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</row>
    <row r="423" ht="15.75" customHeight="1">
      <c r="A423" s="234"/>
      <c r="B423" s="277"/>
      <c r="C423" s="278"/>
      <c r="D423" s="279"/>
      <c r="E423" s="279"/>
      <c r="F423" s="279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</row>
    <row r="424" ht="15.75" customHeight="1">
      <c r="A424" s="234"/>
      <c r="B424" s="277"/>
      <c r="C424" s="278"/>
      <c r="D424" s="279"/>
      <c r="E424" s="279"/>
      <c r="F424" s="279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</row>
    <row r="425" ht="15.75" customHeight="1">
      <c r="A425" s="234"/>
      <c r="B425" s="277"/>
      <c r="C425" s="278"/>
      <c r="D425" s="279"/>
      <c r="E425" s="279"/>
      <c r="F425" s="279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</row>
    <row r="426" ht="15.75" customHeight="1">
      <c r="A426" s="234"/>
      <c r="B426" s="277"/>
      <c r="C426" s="278"/>
      <c r="D426" s="279"/>
      <c r="E426" s="279"/>
      <c r="F426" s="279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</row>
    <row r="427" ht="15.75" customHeight="1">
      <c r="A427" s="234"/>
      <c r="B427" s="277"/>
      <c r="C427" s="278"/>
      <c r="D427" s="279"/>
      <c r="E427" s="279"/>
      <c r="F427" s="279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</row>
    <row r="428" ht="15.75" customHeight="1">
      <c r="A428" s="234"/>
      <c r="B428" s="277"/>
      <c r="C428" s="278"/>
      <c r="D428" s="279"/>
      <c r="E428" s="279"/>
      <c r="F428" s="279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</row>
    <row r="429" ht="15.75" customHeight="1">
      <c r="A429" s="234"/>
      <c r="B429" s="277"/>
      <c r="C429" s="278"/>
      <c r="D429" s="279"/>
      <c r="E429" s="279"/>
      <c r="F429" s="279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</row>
    <row r="430" ht="15.75" customHeight="1">
      <c r="A430" s="234"/>
      <c r="B430" s="277"/>
      <c r="C430" s="278"/>
      <c r="D430" s="279"/>
      <c r="E430" s="279"/>
      <c r="F430" s="279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</row>
    <row r="431" ht="15.75" customHeight="1">
      <c r="A431" s="234"/>
      <c r="B431" s="277"/>
      <c r="C431" s="278"/>
      <c r="D431" s="279"/>
      <c r="E431" s="279"/>
      <c r="F431" s="279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</row>
    <row r="432" ht="15.75" customHeight="1">
      <c r="A432" s="234"/>
      <c r="B432" s="277"/>
      <c r="C432" s="278"/>
      <c r="D432" s="279"/>
      <c r="E432" s="279"/>
      <c r="F432" s="279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</row>
    <row r="433" ht="15.75" customHeight="1">
      <c r="A433" s="234"/>
      <c r="B433" s="277"/>
      <c r="C433" s="278"/>
      <c r="D433" s="279"/>
      <c r="E433" s="279"/>
      <c r="F433" s="279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</row>
    <row r="434" ht="15.75" customHeight="1">
      <c r="A434" s="234"/>
      <c r="B434" s="277"/>
      <c r="C434" s="278"/>
      <c r="D434" s="279"/>
      <c r="E434" s="279"/>
      <c r="F434" s="279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</row>
    <row r="435" ht="15.75" customHeight="1">
      <c r="A435" s="234"/>
      <c r="B435" s="277"/>
      <c r="C435" s="278"/>
      <c r="D435" s="279"/>
      <c r="E435" s="279"/>
      <c r="F435" s="279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</row>
    <row r="436" ht="15.75" customHeight="1">
      <c r="A436" s="234"/>
      <c r="B436" s="277"/>
      <c r="C436" s="278"/>
      <c r="D436" s="279"/>
      <c r="E436" s="279"/>
      <c r="F436" s="279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</row>
    <row r="437" ht="15.75" customHeight="1">
      <c r="A437" s="234"/>
      <c r="B437" s="277"/>
      <c r="C437" s="278"/>
      <c r="D437" s="279"/>
      <c r="E437" s="279"/>
      <c r="F437" s="279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</row>
    <row r="438" ht="15.75" customHeight="1">
      <c r="A438" s="234"/>
      <c r="B438" s="277"/>
      <c r="C438" s="278"/>
      <c r="D438" s="279"/>
      <c r="E438" s="279"/>
      <c r="F438" s="279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</row>
    <row r="439" ht="15.75" customHeight="1">
      <c r="A439" s="234"/>
      <c r="B439" s="277"/>
      <c r="C439" s="278"/>
      <c r="D439" s="279"/>
      <c r="E439" s="279"/>
      <c r="F439" s="279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</row>
    <row r="440" ht="15.75" customHeight="1">
      <c r="A440" s="234"/>
      <c r="B440" s="277"/>
      <c r="C440" s="278"/>
      <c r="D440" s="279"/>
      <c r="E440" s="279"/>
      <c r="F440" s="279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</row>
    <row r="441" ht="15.75" customHeight="1">
      <c r="A441" s="234"/>
      <c r="B441" s="277"/>
      <c r="C441" s="278"/>
      <c r="D441" s="279"/>
      <c r="E441" s="279"/>
      <c r="F441" s="279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</row>
    <row r="442" ht="15.75" customHeight="1">
      <c r="A442" s="234"/>
      <c r="B442" s="277"/>
      <c r="C442" s="278"/>
      <c r="D442" s="279"/>
      <c r="E442" s="279"/>
      <c r="F442" s="279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</row>
    <row r="443" ht="15.75" customHeight="1">
      <c r="A443" s="234"/>
      <c r="B443" s="277"/>
      <c r="C443" s="278"/>
      <c r="D443" s="279"/>
      <c r="E443" s="279"/>
      <c r="F443" s="279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</row>
    <row r="444" ht="15.75" customHeight="1">
      <c r="A444" s="234"/>
      <c r="B444" s="277"/>
      <c r="C444" s="278"/>
      <c r="D444" s="279"/>
      <c r="E444" s="279"/>
      <c r="F444" s="279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</row>
    <row r="445" ht="15.75" customHeight="1">
      <c r="A445" s="234"/>
      <c r="B445" s="277"/>
      <c r="C445" s="278"/>
      <c r="D445" s="279"/>
      <c r="E445" s="279"/>
      <c r="F445" s="279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</row>
    <row r="446" ht="15.75" customHeight="1">
      <c r="A446" s="234"/>
      <c r="B446" s="277"/>
      <c r="C446" s="278"/>
      <c r="D446" s="279"/>
      <c r="E446" s="279"/>
      <c r="F446" s="279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</row>
    <row r="447" ht="15.75" customHeight="1">
      <c r="A447" s="234"/>
      <c r="B447" s="277"/>
      <c r="C447" s="278"/>
      <c r="D447" s="279"/>
      <c r="E447" s="279"/>
      <c r="F447" s="279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</row>
    <row r="448" ht="15.75" customHeight="1">
      <c r="A448" s="234"/>
      <c r="B448" s="277"/>
      <c r="C448" s="278"/>
      <c r="D448" s="279"/>
      <c r="E448" s="279"/>
      <c r="F448" s="279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</row>
    <row r="449" ht="15.75" customHeight="1">
      <c r="A449" s="234"/>
      <c r="B449" s="277"/>
      <c r="C449" s="278"/>
      <c r="D449" s="279"/>
      <c r="E449" s="279"/>
      <c r="F449" s="279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</row>
    <row r="450" ht="15.75" customHeight="1">
      <c r="A450" s="234"/>
      <c r="B450" s="277"/>
      <c r="C450" s="278"/>
      <c r="D450" s="279"/>
      <c r="E450" s="279"/>
      <c r="F450" s="279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</row>
    <row r="451" ht="15.75" customHeight="1">
      <c r="A451" s="234"/>
      <c r="B451" s="277"/>
      <c r="C451" s="278"/>
      <c r="D451" s="279"/>
      <c r="E451" s="279"/>
      <c r="F451" s="279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</row>
    <row r="452" ht="15.75" customHeight="1">
      <c r="A452" s="234"/>
      <c r="B452" s="277"/>
      <c r="C452" s="278"/>
      <c r="D452" s="279"/>
      <c r="E452" s="279"/>
      <c r="F452" s="279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</row>
    <row r="453" ht="15.75" customHeight="1">
      <c r="A453" s="234"/>
      <c r="B453" s="277"/>
      <c r="C453" s="278"/>
      <c r="D453" s="279"/>
      <c r="E453" s="279"/>
      <c r="F453" s="279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</row>
    <row r="454" ht="15.75" customHeight="1">
      <c r="A454" s="234"/>
      <c r="B454" s="277"/>
      <c r="C454" s="278"/>
      <c r="D454" s="279"/>
      <c r="E454" s="279"/>
      <c r="F454" s="279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</row>
    <row r="455" ht="15.75" customHeight="1">
      <c r="A455" s="234"/>
      <c r="B455" s="277"/>
      <c r="C455" s="278"/>
      <c r="D455" s="279"/>
      <c r="E455" s="279"/>
      <c r="F455" s="279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</row>
    <row r="456" ht="15.75" customHeight="1">
      <c r="A456" s="234"/>
      <c r="B456" s="277"/>
      <c r="C456" s="278"/>
      <c r="D456" s="279"/>
      <c r="E456" s="279"/>
      <c r="F456" s="279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</row>
    <row r="457" ht="15.75" customHeight="1">
      <c r="A457" s="234"/>
      <c r="B457" s="277"/>
      <c r="C457" s="278"/>
      <c r="D457" s="279"/>
      <c r="E457" s="279"/>
      <c r="F457" s="279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</row>
    <row r="458" ht="15.75" customHeight="1">
      <c r="A458" s="234"/>
      <c r="B458" s="277"/>
      <c r="C458" s="278"/>
      <c r="D458" s="279"/>
      <c r="E458" s="279"/>
      <c r="F458" s="279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</row>
    <row r="459" ht="15.75" customHeight="1">
      <c r="A459" s="234"/>
      <c r="B459" s="277"/>
      <c r="C459" s="278"/>
      <c r="D459" s="279"/>
      <c r="E459" s="279"/>
      <c r="F459" s="279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</row>
    <row r="460" ht="15.75" customHeight="1">
      <c r="A460" s="234"/>
      <c r="B460" s="277"/>
      <c r="C460" s="278"/>
      <c r="D460" s="279"/>
      <c r="E460" s="279"/>
      <c r="F460" s="279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</row>
    <row r="461" ht="15.75" customHeight="1">
      <c r="A461" s="234"/>
      <c r="B461" s="277"/>
      <c r="C461" s="278"/>
      <c r="D461" s="279"/>
      <c r="E461" s="279"/>
      <c r="F461" s="279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</row>
    <row r="462" ht="15.75" customHeight="1">
      <c r="A462" s="234"/>
      <c r="B462" s="277"/>
      <c r="C462" s="278"/>
      <c r="D462" s="279"/>
      <c r="E462" s="279"/>
      <c r="F462" s="279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</row>
    <row r="463" ht="15.75" customHeight="1">
      <c r="A463" s="234"/>
      <c r="B463" s="277"/>
      <c r="C463" s="278"/>
      <c r="D463" s="279"/>
      <c r="E463" s="279"/>
      <c r="F463" s="279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</row>
    <row r="464" ht="15.75" customHeight="1">
      <c r="A464" s="234"/>
      <c r="B464" s="277"/>
      <c r="C464" s="278"/>
      <c r="D464" s="279"/>
      <c r="E464" s="279"/>
      <c r="F464" s="279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</row>
    <row r="465" ht="15.75" customHeight="1">
      <c r="A465" s="234"/>
      <c r="B465" s="277"/>
      <c r="C465" s="278"/>
      <c r="D465" s="279"/>
      <c r="E465" s="279"/>
      <c r="F465" s="279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</row>
    <row r="466" ht="15.75" customHeight="1">
      <c r="A466" s="234"/>
      <c r="B466" s="277"/>
      <c r="C466" s="278"/>
      <c r="D466" s="279"/>
      <c r="E466" s="279"/>
      <c r="F466" s="279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</row>
    <row r="467" ht="15.75" customHeight="1">
      <c r="A467" s="234"/>
      <c r="B467" s="277"/>
      <c r="C467" s="278"/>
      <c r="D467" s="279"/>
      <c r="E467" s="279"/>
      <c r="F467" s="279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</row>
    <row r="468" ht="15.75" customHeight="1">
      <c r="A468" s="234"/>
      <c r="B468" s="277"/>
      <c r="C468" s="278"/>
      <c r="D468" s="279"/>
      <c r="E468" s="279"/>
      <c r="F468" s="279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</row>
    <row r="469" ht="15.75" customHeight="1">
      <c r="A469" s="234"/>
      <c r="B469" s="277"/>
      <c r="C469" s="278"/>
      <c r="D469" s="279"/>
      <c r="E469" s="279"/>
      <c r="F469" s="279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</row>
    <row r="470" ht="15.75" customHeight="1">
      <c r="A470" s="234"/>
      <c r="B470" s="277"/>
      <c r="C470" s="278"/>
      <c r="D470" s="279"/>
      <c r="E470" s="279"/>
      <c r="F470" s="279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</row>
    <row r="471" ht="15.75" customHeight="1">
      <c r="A471" s="234"/>
      <c r="B471" s="277"/>
      <c r="C471" s="278"/>
      <c r="D471" s="279"/>
      <c r="E471" s="279"/>
      <c r="F471" s="279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</row>
    <row r="472" ht="15.75" customHeight="1">
      <c r="A472" s="234"/>
      <c r="B472" s="277"/>
      <c r="C472" s="278"/>
      <c r="D472" s="279"/>
      <c r="E472" s="279"/>
      <c r="F472" s="279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</row>
    <row r="473" ht="15.75" customHeight="1">
      <c r="A473" s="234"/>
      <c r="B473" s="277"/>
      <c r="C473" s="278"/>
      <c r="D473" s="279"/>
      <c r="E473" s="279"/>
      <c r="F473" s="279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</row>
    <row r="474" ht="15.75" customHeight="1">
      <c r="A474" s="234"/>
      <c r="B474" s="277"/>
      <c r="C474" s="278"/>
      <c r="D474" s="279"/>
      <c r="E474" s="279"/>
      <c r="F474" s="279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</row>
    <row r="475" ht="15.75" customHeight="1">
      <c r="A475" s="234"/>
      <c r="B475" s="277"/>
      <c r="C475" s="278"/>
      <c r="D475" s="279"/>
      <c r="E475" s="279"/>
      <c r="F475" s="279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</row>
    <row r="476" ht="15.75" customHeight="1">
      <c r="A476" s="234"/>
      <c r="B476" s="277"/>
      <c r="C476" s="278"/>
      <c r="D476" s="279"/>
      <c r="E476" s="279"/>
      <c r="F476" s="279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</row>
    <row r="477" ht="15.75" customHeight="1">
      <c r="A477" s="234"/>
      <c r="B477" s="277"/>
      <c r="C477" s="278"/>
      <c r="D477" s="279"/>
      <c r="E477" s="279"/>
      <c r="F477" s="279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</row>
    <row r="478" ht="15.75" customHeight="1">
      <c r="A478" s="234"/>
      <c r="B478" s="277"/>
      <c r="C478" s="278"/>
      <c r="D478" s="279"/>
      <c r="E478" s="279"/>
      <c r="F478" s="279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</row>
    <row r="479" ht="15.75" customHeight="1">
      <c r="A479" s="234"/>
      <c r="B479" s="277"/>
      <c r="C479" s="278"/>
      <c r="D479" s="279"/>
      <c r="E479" s="279"/>
      <c r="F479" s="279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</row>
    <row r="480" ht="15.75" customHeight="1">
      <c r="A480" s="234"/>
      <c r="B480" s="277"/>
      <c r="C480" s="278"/>
      <c r="D480" s="279"/>
      <c r="E480" s="279"/>
      <c r="F480" s="279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</row>
    <row r="481" ht="15.75" customHeight="1">
      <c r="A481" s="234"/>
      <c r="B481" s="277"/>
      <c r="C481" s="278"/>
      <c r="D481" s="279"/>
      <c r="E481" s="279"/>
      <c r="F481" s="279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</row>
    <row r="482" ht="15.75" customHeight="1">
      <c r="A482" s="234"/>
      <c r="B482" s="277"/>
      <c r="C482" s="278"/>
      <c r="D482" s="279"/>
      <c r="E482" s="279"/>
      <c r="F482" s="279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</row>
    <row r="483" ht="15.75" customHeight="1">
      <c r="A483" s="234"/>
      <c r="B483" s="277"/>
      <c r="C483" s="278"/>
      <c r="D483" s="279"/>
      <c r="E483" s="279"/>
      <c r="F483" s="279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</row>
    <row r="484" ht="15.75" customHeight="1">
      <c r="A484" s="234"/>
      <c r="B484" s="277"/>
      <c r="C484" s="278"/>
      <c r="D484" s="279"/>
      <c r="E484" s="279"/>
      <c r="F484" s="279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</row>
    <row r="485" ht="15.75" customHeight="1">
      <c r="A485" s="234"/>
      <c r="B485" s="277"/>
      <c r="C485" s="278"/>
      <c r="D485" s="279"/>
      <c r="E485" s="279"/>
      <c r="F485" s="279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</row>
    <row r="486" ht="15.75" customHeight="1">
      <c r="A486" s="234"/>
      <c r="B486" s="277"/>
      <c r="C486" s="278"/>
      <c r="D486" s="279"/>
      <c r="E486" s="279"/>
      <c r="F486" s="279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</row>
    <row r="487" ht="15.75" customHeight="1">
      <c r="A487" s="234"/>
      <c r="B487" s="277"/>
      <c r="C487" s="278"/>
      <c r="D487" s="279"/>
      <c r="E487" s="279"/>
      <c r="F487" s="279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</row>
    <row r="488" ht="15.75" customHeight="1">
      <c r="A488" s="234"/>
      <c r="B488" s="277"/>
      <c r="C488" s="278"/>
      <c r="D488" s="279"/>
      <c r="E488" s="279"/>
      <c r="F488" s="279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</row>
    <row r="489" ht="15.75" customHeight="1">
      <c r="A489" s="234"/>
      <c r="B489" s="277"/>
      <c r="C489" s="278"/>
      <c r="D489" s="279"/>
      <c r="E489" s="279"/>
      <c r="F489" s="279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</row>
    <row r="490" ht="15.75" customHeight="1">
      <c r="A490" s="234"/>
      <c r="B490" s="277"/>
      <c r="C490" s="278"/>
      <c r="D490" s="279"/>
      <c r="E490" s="279"/>
      <c r="F490" s="279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</row>
    <row r="491" ht="15.75" customHeight="1">
      <c r="A491" s="234"/>
      <c r="B491" s="277"/>
      <c r="C491" s="278"/>
      <c r="D491" s="279"/>
      <c r="E491" s="279"/>
      <c r="F491" s="279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</row>
    <row r="492" ht="15.75" customHeight="1">
      <c r="A492" s="234"/>
      <c r="B492" s="277"/>
      <c r="C492" s="278"/>
      <c r="D492" s="279"/>
      <c r="E492" s="279"/>
      <c r="F492" s="279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</row>
    <row r="493" ht="15.75" customHeight="1">
      <c r="A493" s="234"/>
      <c r="B493" s="277"/>
      <c r="C493" s="278"/>
      <c r="D493" s="279"/>
      <c r="E493" s="279"/>
      <c r="F493" s="279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</row>
    <row r="494" ht="15.75" customHeight="1">
      <c r="A494" s="234"/>
      <c r="B494" s="277"/>
      <c r="C494" s="278"/>
      <c r="D494" s="279"/>
      <c r="E494" s="279"/>
      <c r="F494" s="279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</row>
    <row r="495" ht="15.75" customHeight="1">
      <c r="A495" s="234"/>
      <c r="B495" s="277"/>
      <c r="C495" s="278"/>
      <c r="D495" s="279"/>
      <c r="E495" s="279"/>
      <c r="F495" s="279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</row>
    <row r="496" ht="15.75" customHeight="1">
      <c r="A496" s="234"/>
      <c r="B496" s="277"/>
      <c r="C496" s="278"/>
      <c r="D496" s="279"/>
      <c r="E496" s="279"/>
      <c r="F496" s="279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</row>
    <row r="497" ht="15.75" customHeight="1">
      <c r="A497" s="234"/>
      <c r="B497" s="277"/>
      <c r="C497" s="278"/>
      <c r="D497" s="279"/>
      <c r="E497" s="279"/>
      <c r="F497" s="279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</row>
    <row r="498" ht="15.75" customHeight="1">
      <c r="A498" s="234"/>
      <c r="B498" s="277"/>
      <c r="C498" s="278"/>
      <c r="D498" s="279"/>
      <c r="E498" s="279"/>
      <c r="F498" s="279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</row>
    <row r="499" ht="15.75" customHeight="1">
      <c r="A499" s="234"/>
      <c r="B499" s="277"/>
      <c r="C499" s="278"/>
      <c r="D499" s="279"/>
      <c r="E499" s="279"/>
      <c r="F499" s="279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</row>
    <row r="500" ht="15.75" customHeight="1">
      <c r="A500" s="234"/>
      <c r="B500" s="277"/>
      <c r="C500" s="278"/>
      <c r="D500" s="279"/>
      <c r="E500" s="279"/>
      <c r="F500" s="279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</row>
    <row r="501" ht="15.75" customHeight="1">
      <c r="A501" s="234"/>
      <c r="B501" s="277"/>
      <c r="C501" s="278"/>
      <c r="D501" s="279"/>
      <c r="E501" s="279"/>
      <c r="F501" s="279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</row>
    <row r="502" ht="15.75" customHeight="1">
      <c r="A502" s="234"/>
      <c r="B502" s="277"/>
      <c r="C502" s="278"/>
      <c r="D502" s="279"/>
      <c r="E502" s="279"/>
      <c r="F502" s="279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</row>
    <row r="503" ht="15.75" customHeight="1">
      <c r="A503" s="234"/>
      <c r="B503" s="277"/>
      <c r="C503" s="278"/>
      <c r="D503" s="279"/>
      <c r="E503" s="279"/>
      <c r="F503" s="279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</row>
    <row r="504" ht="15.75" customHeight="1">
      <c r="A504" s="234"/>
      <c r="B504" s="277"/>
      <c r="C504" s="278"/>
      <c r="D504" s="279"/>
      <c r="E504" s="279"/>
      <c r="F504" s="279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</row>
    <row r="505" ht="15.75" customHeight="1">
      <c r="A505" s="234"/>
      <c r="B505" s="277"/>
      <c r="C505" s="278"/>
      <c r="D505" s="279"/>
      <c r="E505" s="279"/>
      <c r="F505" s="279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</row>
    <row r="506" ht="15.75" customHeight="1">
      <c r="A506" s="234"/>
      <c r="B506" s="277"/>
      <c r="C506" s="278"/>
      <c r="D506" s="279"/>
      <c r="E506" s="279"/>
      <c r="F506" s="279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</row>
    <row r="507" ht="15.75" customHeight="1">
      <c r="A507" s="234"/>
      <c r="B507" s="277"/>
      <c r="C507" s="278"/>
      <c r="D507" s="279"/>
      <c r="E507" s="279"/>
      <c r="F507" s="279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</row>
    <row r="508" ht="15.75" customHeight="1">
      <c r="A508" s="234"/>
      <c r="B508" s="277"/>
      <c r="C508" s="278"/>
      <c r="D508" s="279"/>
      <c r="E508" s="279"/>
      <c r="F508" s="279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</row>
    <row r="509" ht="15.75" customHeight="1">
      <c r="A509" s="234"/>
      <c r="B509" s="277"/>
      <c r="C509" s="278"/>
      <c r="D509" s="279"/>
      <c r="E509" s="279"/>
      <c r="F509" s="279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</row>
    <row r="510" ht="15.75" customHeight="1">
      <c r="A510" s="234"/>
      <c r="B510" s="277"/>
      <c r="C510" s="278"/>
      <c r="D510" s="279"/>
      <c r="E510" s="279"/>
      <c r="F510" s="279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</row>
    <row r="511" ht="15.75" customHeight="1">
      <c r="A511" s="234"/>
      <c r="B511" s="277"/>
      <c r="C511" s="278"/>
      <c r="D511" s="279"/>
      <c r="E511" s="279"/>
      <c r="F511" s="279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</row>
    <row r="512" ht="15.75" customHeight="1">
      <c r="A512" s="234"/>
      <c r="B512" s="277"/>
      <c r="C512" s="278"/>
      <c r="D512" s="279"/>
      <c r="E512" s="279"/>
      <c r="F512" s="279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</row>
    <row r="513" ht="15.75" customHeight="1">
      <c r="A513" s="234"/>
      <c r="B513" s="277"/>
      <c r="C513" s="278"/>
      <c r="D513" s="279"/>
      <c r="E513" s="279"/>
      <c r="F513" s="279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</row>
    <row r="514" ht="15.75" customHeight="1">
      <c r="A514" s="234"/>
      <c r="B514" s="277"/>
      <c r="C514" s="278"/>
      <c r="D514" s="279"/>
      <c r="E514" s="279"/>
      <c r="F514" s="279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</row>
    <row r="515" ht="15.75" customHeight="1">
      <c r="A515" s="234"/>
      <c r="B515" s="277"/>
      <c r="C515" s="278"/>
      <c r="D515" s="279"/>
      <c r="E515" s="279"/>
      <c r="F515" s="279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</row>
    <row r="516" ht="15.75" customHeight="1">
      <c r="A516" s="234"/>
      <c r="B516" s="277"/>
      <c r="C516" s="278"/>
      <c r="D516" s="279"/>
      <c r="E516" s="279"/>
      <c r="F516" s="279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</row>
    <row r="517" ht="15.75" customHeight="1">
      <c r="A517" s="234"/>
      <c r="B517" s="277"/>
      <c r="C517" s="278"/>
      <c r="D517" s="279"/>
      <c r="E517" s="279"/>
      <c r="F517" s="279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</row>
    <row r="518" ht="15.75" customHeight="1">
      <c r="A518" s="234"/>
      <c r="B518" s="277"/>
      <c r="C518" s="278"/>
      <c r="D518" s="279"/>
      <c r="E518" s="279"/>
      <c r="F518" s="279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</row>
    <row r="519" ht="15.75" customHeight="1">
      <c r="A519" s="234"/>
      <c r="B519" s="277"/>
      <c r="C519" s="278"/>
      <c r="D519" s="279"/>
      <c r="E519" s="279"/>
      <c r="F519" s="279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</row>
    <row r="520" ht="15.75" customHeight="1">
      <c r="A520" s="234"/>
      <c r="B520" s="277"/>
      <c r="C520" s="278"/>
      <c r="D520" s="279"/>
      <c r="E520" s="279"/>
      <c r="F520" s="279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</row>
    <row r="521" ht="15.75" customHeight="1">
      <c r="A521" s="234"/>
      <c r="B521" s="277"/>
      <c r="C521" s="278"/>
      <c r="D521" s="279"/>
      <c r="E521" s="279"/>
      <c r="F521" s="279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</row>
    <row r="522" ht="15.75" customHeight="1">
      <c r="A522" s="234"/>
      <c r="B522" s="277"/>
      <c r="C522" s="278"/>
      <c r="D522" s="279"/>
      <c r="E522" s="279"/>
      <c r="F522" s="279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</row>
    <row r="523" ht="15.75" customHeight="1">
      <c r="A523" s="234"/>
      <c r="B523" s="277"/>
      <c r="C523" s="278"/>
      <c r="D523" s="279"/>
      <c r="E523" s="279"/>
      <c r="F523" s="279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</row>
    <row r="524" ht="15.75" customHeight="1">
      <c r="A524" s="234"/>
      <c r="B524" s="277"/>
      <c r="C524" s="278"/>
      <c r="D524" s="279"/>
      <c r="E524" s="279"/>
      <c r="F524" s="279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</row>
    <row r="525" ht="15.75" customHeight="1">
      <c r="A525" s="234"/>
      <c r="B525" s="277"/>
      <c r="C525" s="278"/>
      <c r="D525" s="279"/>
      <c r="E525" s="279"/>
      <c r="F525" s="279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</row>
    <row r="526" ht="15.75" customHeight="1">
      <c r="A526" s="234"/>
      <c r="B526" s="277"/>
      <c r="C526" s="278"/>
      <c r="D526" s="279"/>
      <c r="E526" s="279"/>
      <c r="F526" s="279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</row>
    <row r="527" ht="15.75" customHeight="1">
      <c r="A527" s="234"/>
      <c r="B527" s="277"/>
      <c r="C527" s="278"/>
      <c r="D527" s="279"/>
      <c r="E527" s="279"/>
      <c r="F527" s="279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</row>
    <row r="528" ht="15.75" customHeight="1">
      <c r="A528" s="234"/>
      <c r="B528" s="277"/>
      <c r="C528" s="278"/>
      <c r="D528" s="279"/>
      <c r="E528" s="279"/>
      <c r="F528" s="279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</row>
    <row r="529" ht="15.75" customHeight="1">
      <c r="A529" s="234"/>
      <c r="B529" s="277"/>
      <c r="C529" s="278"/>
      <c r="D529" s="279"/>
      <c r="E529" s="279"/>
      <c r="F529" s="279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</row>
    <row r="530" ht="15.75" customHeight="1">
      <c r="A530" s="234"/>
      <c r="B530" s="277"/>
      <c r="C530" s="278"/>
      <c r="D530" s="279"/>
      <c r="E530" s="279"/>
      <c r="F530" s="279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</row>
    <row r="531" ht="15.75" customHeight="1">
      <c r="A531" s="234"/>
      <c r="B531" s="277"/>
      <c r="C531" s="278"/>
      <c r="D531" s="279"/>
      <c r="E531" s="279"/>
      <c r="F531" s="279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</row>
    <row r="532" ht="15.75" customHeight="1">
      <c r="A532" s="234"/>
      <c r="B532" s="277"/>
      <c r="C532" s="278"/>
      <c r="D532" s="279"/>
      <c r="E532" s="279"/>
      <c r="F532" s="279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</row>
    <row r="533" ht="15.75" customHeight="1">
      <c r="A533" s="234"/>
      <c r="B533" s="277"/>
      <c r="C533" s="278"/>
      <c r="D533" s="279"/>
      <c r="E533" s="279"/>
      <c r="F533" s="279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</row>
    <row r="534" ht="15.75" customHeight="1">
      <c r="A534" s="234"/>
      <c r="B534" s="277"/>
      <c r="C534" s="278"/>
      <c r="D534" s="279"/>
      <c r="E534" s="279"/>
      <c r="F534" s="279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</row>
    <row r="535" ht="15.75" customHeight="1">
      <c r="A535" s="234"/>
      <c r="B535" s="277"/>
      <c r="C535" s="278"/>
      <c r="D535" s="279"/>
      <c r="E535" s="279"/>
      <c r="F535" s="279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</row>
    <row r="536" ht="15.75" customHeight="1">
      <c r="A536" s="234"/>
      <c r="B536" s="277"/>
      <c r="C536" s="278"/>
      <c r="D536" s="279"/>
      <c r="E536" s="279"/>
      <c r="F536" s="279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</row>
    <row r="537" ht="15.75" customHeight="1">
      <c r="A537" s="234"/>
      <c r="B537" s="277"/>
      <c r="C537" s="278"/>
      <c r="D537" s="279"/>
      <c r="E537" s="279"/>
      <c r="F537" s="279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</row>
    <row r="538" ht="15.75" customHeight="1">
      <c r="A538" s="234"/>
      <c r="B538" s="277"/>
      <c r="C538" s="278"/>
      <c r="D538" s="279"/>
      <c r="E538" s="279"/>
      <c r="F538" s="279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</row>
    <row r="539" ht="15.75" customHeight="1">
      <c r="A539" s="234"/>
      <c r="B539" s="277"/>
      <c r="C539" s="278"/>
      <c r="D539" s="279"/>
      <c r="E539" s="279"/>
      <c r="F539" s="279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</row>
    <row r="540" ht="15.75" customHeight="1">
      <c r="A540" s="234"/>
      <c r="B540" s="277"/>
      <c r="C540" s="278"/>
      <c r="D540" s="279"/>
      <c r="E540" s="279"/>
      <c r="F540" s="279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</row>
    <row r="541" ht="15.75" customHeight="1">
      <c r="A541" s="234"/>
      <c r="B541" s="277"/>
      <c r="C541" s="278"/>
      <c r="D541" s="279"/>
      <c r="E541" s="279"/>
      <c r="F541" s="279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</row>
    <row r="542" ht="15.75" customHeight="1">
      <c r="A542" s="234"/>
      <c r="B542" s="277"/>
      <c r="C542" s="278"/>
      <c r="D542" s="279"/>
      <c r="E542" s="279"/>
      <c r="F542" s="279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</row>
    <row r="543" ht="15.75" customHeight="1">
      <c r="A543" s="234"/>
      <c r="B543" s="277"/>
      <c r="C543" s="278"/>
      <c r="D543" s="279"/>
      <c r="E543" s="279"/>
      <c r="F543" s="279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</row>
    <row r="544" ht="15.75" customHeight="1">
      <c r="A544" s="234"/>
      <c r="B544" s="277"/>
      <c r="C544" s="278"/>
      <c r="D544" s="279"/>
      <c r="E544" s="279"/>
      <c r="F544" s="279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</row>
    <row r="545" ht="15.75" customHeight="1">
      <c r="A545" s="234"/>
      <c r="B545" s="277"/>
      <c r="C545" s="278"/>
      <c r="D545" s="279"/>
      <c r="E545" s="279"/>
      <c r="F545" s="279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</row>
    <row r="546" ht="15.75" customHeight="1">
      <c r="A546" s="234"/>
      <c r="B546" s="277"/>
      <c r="C546" s="278"/>
      <c r="D546" s="279"/>
      <c r="E546" s="279"/>
      <c r="F546" s="279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</row>
    <row r="547" ht="15.75" customHeight="1">
      <c r="A547" s="234"/>
      <c r="B547" s="277"/>
      <c r="C547" s="278"/>
      <c r="D547" s="279"/>
      <c r="E547" s="279"/>
      <c r="F547" s="279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</row>
    <row r="548" ht="15.75" customHeight="1">
      <c r="A548" s="234"/>
      <c r="B548" s="277"/>
      <c r="C548" s="278"/>
      <c r="D548" s="279"/>
      <c r="E548" s="279"/>
      <c r="F548" s="279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</row>
    <row r="549" ht="15.75" customHeight="1">
      <c r="A549" s="234"/>
      <c r="B549" s="277"/>
      <c r="C549" s="278"/>
      <c r="D549" s="279"/>
      <c r="E549" s="279"/>
      <c r="F549" s="279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</row>
    <row r="550" ht="15.75" customHeight="1">
      <c r="A550" s="234"/>
      <c r="B550" s="277"/>
      <c r="C550" s="278"/>
      <c r="D550" s="279"/>
      <c r="E550" s="279"/>
      <c r="F550" s="279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</row>
    <row r="551" ht="15.75" customHeight="1">
      <c r="A551" s="234"/>
      <c r="B551" s="277"/>
      <c r="C551" s="278"/>
      <c r="D551" s="279"/>
      <c r="E551" s="279"/>
      <c r="F551" s="279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</row>
    <row r="552" ht="15.75" customHeight="1">
      <c r="A552" s="234"/>
      <c r="B552" s="277"/>
      <c r="C552" s="278"/>
      <c r="D552" s="279"/>
      <c r="E552" s="279"/>
      <c r="F552" s="279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</row>
    <row r="553" ht="15.75" customHeight="1">
      <c r="A553" s="234"/>
      <c r="B553" s="277"/>
      <c r="C553" s="278"/>
      <c r="D553" s="279"/>
      <c r="E553" s="279"/>
      <c r="F553" s="279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</row>
    <row r="554" ht="15.75" customHeight="1">
      <c r="A554" s="234"/>
      <c r="B554" s="277"/>
      <c r="C554" s="278"/>
      <c r="D554" s="279"/>
      <c r="E554" s="279"/>
      <c r="F554" s="279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</row>
    <row r="555" ht="15.75" customHeight="1">
      <c r="A555" s="234"/>
      <c r="B555" s="277"/>
      <c r="C555" s="278"/>
      <c r="D555" s="279"/>
      <c r="E555" s="279"/>
      <c r="F555" s="279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</row>
    <row r="556" ht="15.75" customHeight="1">
      <c r="A556" s="234"/>
      <c r="B556" s="277"/>
      <c r="C556" s="278"/>
      <c r="D556" s="279"/>
      <c r="E556" s="279"/>
      <c r="F556" s="279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</row>
    <row r="557" ht="15.75" customHeight="1">
      <c r="A557" s="234"/>
      <c r="B557" s="277"/>
      <c r="C557" s="278"/>
      <c r="D557" s="279"/>
      <c r="E557" s="279"/>
      <c r="F557" s="279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</row>
    <row r="558" ht="15.75" customHeight="1">
      <c r="A558" s="234"/>
      <c r="B558" s="277"/>
      <c r="C558" s="278"/>
      <c r="D558" s="279"/>
      <c r="E558" s="279"/>
      <c r="F558" s="279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</row>
    <row r="559" ht="15.75" customHeight="1">
      <c r="A559" s="234"/>
      <c r="B559" s="277"/>
      <c r="C559" s="278"/>
      <c r="D559" s="279"/>
      <c r="E559" s="279"/>
      <c r="F559" s="279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</row>
    <row r="560" ht="15.75" customHeight="1">
      <c r="A560" s="234"/>
      <c r="B560" s="277"/>
      <c r="C560" s="278"/>
      <c r="D560" s="279"/>
      <c r="E560" s="279"/>
      <c r="F560" s="279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</row>
    <row r="561" ht="15.75" customHeight="1">
      <c r="A561" s="234"/>
      <c r="B561" s="277"/>
      <c r="C561" s="278"/>
      <c r="D561" s="279"/>
      <c r="E561" s="279"/>
      <c r="F561" s="279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</row>
    <row r="562" ht="15.75" customHeight="1">
      <c r="A562" s="234"/>
      <c r="B562" s="277"/>
      <c r="C562" s="278"/>
      <c r="D562" s="279"/>
      <c r="E562" s="279"/>
      <c r="F562" s="279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</row>
    <row r="563" ht="15.75" customHeight="1">
      <c r="A563" s="234"/>
      <c r="B563" s="277"/>
      <c r="C563" s="278"/>
      <c r="D563" s="279"/>
      <c r="E563" s="279"/>
      <c r="F563" s="279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</row>
    <row r="564" ht="15.75" customHeight="1">
      <c r="A564" s="234"/>
      <c r="B564" s="277"/>
      <c r="C564" s="278"/>
      <c r="D564" s="279"/>
      <c r="E564" s="279"/>
      <c r="F564" s="279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</row>
    <row r="565" ht="15.75" customHeight="1">
      <c r="A565" s="234"/>
      <c r="B565" s="277"/>
      <c r="C565" s="278"/>
      <c r="D565" s="279"/>
      <c r="E565" s="279"/>
      <c r="F565" s="279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</row>
    <row r="566" ht="15.75" customHeight="1">
      <c r="A566" s="234"/>
      <c r="B566" s="277"/>
      <c r="C566" s="278"/>
      <c r="D566" s="279"/>
      <c r="E566" s="279"/>
      <c r="F566" s="279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</row>
    <row r="567" ht="15.75" customHeight="1">
      <c r="A567" s="234"/>
      <c r="B567" s="277"/>
      <c r="C567" s="278"/>
      <c r="D567" s="279"/>
      <c r="E567" s="279"/>
      <c r="F567" s="279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</row>
    <row r="568" ht="15.75" customHeight="1">
      <c r="A568" s="234"/>
      <c r="B568" s="277"/>
      <c r="C568" s="278"/>
      <c r="D568" s="279"/>
      <c r="E568" s="279"/>
      <c r="F568" s="279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</row>
    <row r="569" ht="15.75" customHeight="1">
      <c r="A569" s="234"/>
      <c r="B569" s="277"/>
      <c r="C569" s="278"/>
      <c r="D569" s="279"/>
      <c r="E569" s="279"/>
      <c r="F569" s="279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</row>
    <row r="570" ht="15.75" customHeight="1">
      <c r="A570" s="234"/>
      <c r="B570" s="277"/>
      <c r="C570" s="278"/>
      <c r="D570" s="279"/>
      <c r="E570" s="279"/>
      <c r="F570" s="279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</row>
    <row r="571" ht="15.75" customHeight="1">
      <c r="A571" s="234"/>
      <c r="B571" s="277"/>
      <c r="C571" s="278"/>
      <c r="D571" s="279"/>
      <c r="E571" s="279"/>
      <c r="F571" s="279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</row>
    <row r="572" ht="15.75" customHeight="1">
      <c r="A572" s="234"/>
      <c r="B572" s="277"/>
      <c r="C572" s="278"/>
      <c r="D572" s="279"/>
      <c r="E572" s="279"/>
      <c r="F572" s="279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</row>
    <row r="573" ht="15.75" customHeight="1">
      <c r="A573" s="234"/>
      <c r="B573" s="277"/>
      <c r="C573" s="278"/>
      <c r="D573" s="279"/>
      <c r="E573" s="279"/>
      <c r="F573" s="279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</row>
    <row r="574" ht="15.75" customHeight="1">
      <c r="A574" s="234"/>
      <c r="B574" s="277"/>
      <c r="C574" s="278"/>
      <c r="D574" s="279"/>
      <c r="E574" s="279"/>
      <c r="F574" s="279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</row>
    <row r="575" ht="15.75" customHeight="1">
      <c r="A575" s="234"/>
      <c r="B575" s="277"/>
      <c r="C575" s="278"/>
      <c r="D575" s="279"/>
      <c r="E575" s="279"/>
      <c r="F575" s="279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</row>
    <row r="576" ht="15.75" customHeight="1">
      <c r="A576" s="234"/>
      <c r="B576" s="277"/>
      <c r="C576" s="278"/>
      <c r="D576" s="279"/>
      <c r="E576" s="279"/>
      <c r="F576" s="279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</row>
    <row r="577" ht="15.75" customHeight="1">
      <c r="A577" s="234"/>
      <c r="B577" s="277"/>
      <c r="C577" s="278"/>
      <c r="D577" s="279"/>
      <c r="E577" s="279"/>
      <c r="F577" s="279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</row>
    <row r="578" ht="15.75" customHeight="1">
      <c r="A578" s="234"/>
      <c r="B578" s="277"/>
      <c r="C578" s="278"/>
      <c r="D578" s="279"/>
      <c r="E578" s="279"/>
      <c r="F578" s="279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</row>
    <row r="579" ht="15.75" customHeight="1">
      <c r="A579" s="234"/>
      <c r="B579" s="277"/>
      <c r="C579" s="278"/>
      <c r="D579" s="279"/>
      <c r="E579" s="279"/>
      <c r="F579" s="279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</row>
    <row r="580" ht="15.75" customHeight="1">
      <c r="A580" s="234"/>
      <c r="B580" s="277"/>
      <c r="C580" s="278"/>
      <c r="D580" s="279"/>
      <c r="E580" s="279"/>
      <c r="F580" s="279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</row>
    <row r="581" ht="15.75" customHeight="1">
      <c r="A581" s="234"/>
      <c r="B581" s="277"/>
      <c r="C581" s="278"/>
      <c r="D581" s="279"/>
      <c r="E581" s="279"/>
      <c r="F581" s="279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</row>
    <row r="582" ht="15.75" customHeight="1">
      <c r="A582" s="234"/>
      <c r="B582" s="277"/>
      <c r="C582" s="278"/>
      <c r="D582" s="279"/>
      <c r="E582" s="279"/>
      <c r="F582" s="279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</row>
    <row r="583" ht="15.75" customHeight="1">
      <c r="A583" s="234"/>
      <c r="B583" s="277"/>
      <c r="C583" s="278"/>
      <c r="D583" s="279"/>
      <c r="E583" s="279"/>
      <c r="F583" s="279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</row>
    <row r="584" ht="15.75" customHeight="1">
      <c r="A584" s="234"/>
      <c r="B584" s="277"/>
      <c r="C584" s="278"/>
      <c r="D584" s="279"/>
      <c r="E584" s="279"/>
      <c r="F584" s="279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</row>
    <row r="585" ht="15.75" customHeight="1">
      <c r="A585" s="234"/>
      <c r="B585" s="277"/>
      <c r="C585" s="278"/>
      <c r="D585" s="279"/>
      <c r="E585" s="279"/>
      <c r="F585" s="279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</row>
    <row r="586" ht="15.75" customHeight="1">
      <c r="A586" s="234"/>
      <c r="B586" s="277"/>
      <c r="C586" s="278"/>
      <c r="D586" s="279"/>
      <c r="E586" s="279"/>
      <c r="F586" s="279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</row>
    <row r="587" ht="15.75" customHeight="1">
      <c r="A587" s="234"/>
      <c r="B587" s="277"/>
      <c r="C587" s="278"/>
      <c r="D587" s="279"/>
      <c r="E587" s="279"/>
      <c r="F587" s="279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</row>
    <row r="588" ht="15.75" customHeight="1">
      <c r="A588" s="234"/>
      <c r="B588" s="277"/>
      <c r="C588" s="278"/>
      <c r="D588" s="279"/>
      <c r="E588" s="279"/>
      <c r="F588" s="279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</row>
    <row r="589" ht="15.75" customHeight="1">
      <c r="A589" s="234"/>
      <c r="B589" s="277"/>
      <c r="C589" s="278"/>
      <c r="D589" s="279"/>
      <c r="E589" s="279"/>
      <c r="F589" s="279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</row>
    <row r="590" ht="15.75" customHeight="1">
      <c r="A590" s="234"/>
      <c r="B590" s="277"/>
      <c r="C590" s="278"/>
      <c r="D590" s="279"/>
      <c r="E590" s="279"/>
      <c r="F590" s="279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</row>
    <row r="591" ht="15.75" customHeight="1">
      <c r="A591" s="234"/>
      <c r="B591" s="277"/>
      <c r="C591" s="278"/>
      <c r="D591" s="279"/>
      <c r="E591" s="279"/>
      <c r="F591" s="279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</row>
    <row r="592" ht="15.75" customHeight="1">
      <c r="A592" s="234"/>
      <c r="B592" s="277"/>
      <c r="C592" s="278"/>
      <c r="D592" s="279"/>
      <c r="E592" s="279"/>
      <c r="F592" s="279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</row>
    <row r="593" ht="15.75" customHeight="1">
      <c r="A593" s="234"/>
      <c r="B593" s="277"/>
      <c r="C593" s="278"/>
      <c r="D593" s="279"/>
      <c r="E593" s="279"/>
      <c r="F593" s="279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</row>
    <row r="594" ht="15.75" customHeight="1">
      <c r="A594" s="234"/>
      <c r="B594" s="277"/>
      <c r="C594" s="278"/>
      <c r="D594" s="279"/>
      <c r="E594" s="279"/>
      <c r="F594" s="279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</row>
    <row r="595" ht="15.75" customHeight="1">
      <c r="A595" s="234"/>
      <c r="B595" s="277"/>
      <c r="C595" s="278"/>
      <c r="D595" s="279"/>
      <c r="E595" s="279"/>
      <c r="F595" s="279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</row>
    <row r="596" ht="15.75" customHeight="1">
      <c r="A596" s="234"/>
      <c r="B596" s="277"/>
      <c r="C596" s="278"/>
      <c r="D596" s="279"/>
      <c r="E596" s="279"/>
      <c r="F596" s="279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</row>
    <row r="597" ht="15.75" customHeight="1">
      <c r="A597" s="234"/>
      <c r="B597" s="277"/>
      <c r="C597" s="278"/>
      <c r="D597" s="279"/>
      <c r="E597" s="279"/>
      <c r="F597" s="279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</row>
    <row r="598" ht="15.75" customHeight="1">
      <c r="A598" s="234"/>
      <c r="B598" s="277"/>
      <c r="C598" s="278"/>
      <c r="D598" s="279"/>
      <c r="E598" s="279"/>
      <c r="F598" s="279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</row>
    <row r="599" ht="15.75" customHeight="1">
      <c r="A599" s="234"/>
      <c r="B599" s="277"/>
      <c r="C599" s="278"/>
      <c r="D599" s="279"/>
      <c r="E599" s="279"/>
      <c r="F599" s="279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</row>
    <row r="600" ht="15.75" customHeight="1">
      <c r="A600" s="234"/>
      <c r="B600" s="277"/>
      <c r="C600" s="278"/>
      <c r="D600" s="279"/>
      <c r="E600" s="279"/>
      <c r="F600" s="279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</row>
    <row r="601" ht="15.75" customHeight="1">
      <c r="A601" s="234"/>
      <c r="B601" s="277"/>
      <c r="C601" s="278"/>
      <c r="D601" s="279"/>
      <c r="E601" s="279"/>
      <c r="F601" s="279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</row>
    <row r="602" ht="15.75" customHeight="1">
      <c r="A602" s="234"/>
      <c r="B602" s="277"/>
      <c r="C602" s="278"/>
      <c r="D602" s="279"/>
      <c r="E602" s="279"/>
      <c r="F602" s="279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</row>
    <row r="603" ht="15.75" customHeight="1">
      <c r="A603" s="234"/>
      <c r="B603" s="277"/>
      <c r="C603" s="278"/>
      <c r="D603" s="279"/>
      <c r="E603" s="279"/>
      <c r="F603" s="279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</row>
    <row r="604" ht="15.75" customHeight="1">
      <c r="A604" s="234"/>
      <c r="B604" s="277"/>
      <c r="C604" s="278"/>
      <c r="D604" s="279"/>
      <c r="E604" s="279"/>
      <c r="F604" s="279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</row>
    <row r="605" ht="15.75" customHeight="1">
      <c r="A605" s="234"/>
      <c r="B605" s="277"/>
      <c r="C605" s="278"/>
      <c r="D605" s="279"/>
      <c r="E605" s="279"/>
      <c r="F605" s="279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</row>
    <row r="606" ht="15.75" customHeight="1">
      <c r="A606" s="234"/>
      <c r="B606" s="277"/>
      <c r="C606" s="278"/>
      <c r="D606" s="279"/>
      <c r="E606" s="279"/>
      <c r="F606" s="279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</row>
    <row r="607" ht="15.75" customHeight="1">
      <c r="A607" s="234"/>
      <c r="B607" s="277"/>
      <c r="C607" s="278"/>
      <c r="D607" s="279"/>
      <c r="E607" s="279"/>
      <c r="F607" s="279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</row>
    <row r="608" ht="15.75" customHeight="1">
      <c r="A608" s="234"/>
      <c r="B608" s="277"/>
      <c r="C608" s="278"/>
      <c r="D608" s="279"/>
      <c r="E608" s="279"/>
      <c r="F608" s="279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</row>
    <row r="609" ht="15.75" customHeight="1">
      <c r="A609" s="234"/>
      <c r="B609" s="277"/>
      <c r="C609" s="278"/>
      <c r="D609" s="279"/>
      <c r="E609" s="279"/>
      <c r="F609" s="279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</row>
    <row r="610" ht="15.75" customHeight="1">
      <c r="A610" s="234"/>
      <c r="B610" s="277"/>
      <c r="C610" s="278"/>
      <c r="D610" s="279"/>
      <c r="E610" s="279"/>
      <c r="F610" s="279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</row>
    <row r="611" ht="15.75" customHeight="1">
      <c r="A611" s="234"/>
      <c r="B611" s="277"/>
      <c r="C611" s="278"/>
      <c r="D611" s="279"/>
      <c r="E611" s="279"/>
      <c r="F611" s="279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</row>
    <row r="612" ht="15.75" customHeight="1">
      <c r="A612" s="234"/>
      <c r="B612" s="277"/>
      <c r="C612" s="278"/>
      <c r="D612" s="279"/>
      <c r="E612" s="279"/>
      <c r="F612" s="279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</row>
    <row r="613" ht="15.75" customHeight="1">
      <c r="A613" s="234"/>
      <c r="B613" s="277"/>
      <c r="C613" s="278"/>
      <c r="D613" s="279"/>
      <c r="E613" s="279"/>
      <c r="F613" s="279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</row>
    <row r="614" ht="15.75" customHeight="1">
      <c r="A614" s="234"/>
      <c r="B614" s="277"/>
      <c r="C614" s="278"/>
      <c r="D614" s="279"/>
      <c r="E614" s="279"/>
      <c r="F614" s="279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</row>
    <row r="615" ht="15.75" customHeight="1">
      <c r="A615" s="234"/>
      <c r="B615" s="277"/>
      <c r="C615" s="278"/>
      <c r="D615" s="279"/>
      <c r="E615" s="279"/>
      <c r="F615" s="279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</row>
    <row r="616" ht="15.75" customHeight="1">
      <c r="A616" s="234"/>
      <c r="B616" s="277"/>
      <c r="C616" s="278"/>
      <c r="D616" s="279"/>
      <c r="E616" s="279"/>
      <c r="F616" s="279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</row>
    <row r="617" ht="15.75" customHeight="1">
      <c r="A617" s="234"/>
      <c r="B617" s="277"/>
      <c r="C617" s="278"/>
      <c r="D617" s="279"/>
      <c r="E617" s="279"/>
      <c r="F617" s="279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</row>
    <row r="618" ht="15.75" customHeight="1">
      <c r="A618" s="234"/>
      <c r="B618" s="277"/>
      <c r="C618" s="278"/>
      <c r="D618" s="279"/>
      <c r="E618" s="279"/>
      <c r="F618" s="279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</row>
    <row r="619" ht="15.75" customHeight="1">
      <c r="A619" s="234"/>
      <c r="B619" s="277"/>
      <c r="C619" s="278"/>
      <c r="D619" s="279"/>
      <c r="E619" s="279"/>
      <c r="F619" s="279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</row>
    <row r="620" ht="15.75" customHeight="1">
      <c r="A620" s="234"/>
      <c r="B620" s="277"/>
      <c r="C620" s="278"/>
      <c r="D620" s="279"/>
      <c r="E620" s="279"/>
      <c r="F620" s="279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</row>
    <row r="621" ht="15.75" customHeight="1">
      <c r="A621" s="234"/>
      <c r="B621" s="277"/>
      <c r="C621" s="278"/>
      <c r="D621" s="279"/>
      <c r="E621" s="279"/>
      <c r="F621" s="279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</row>
    <row r="622" ht="15.75" customHeight="1">
      <c r="A622" s="234"/>
      <c r="B622" s="277"/>
      <c r="C622" s="278"/>
      <c r="D622" s="279"/>
      <c r="E622" s="279"/>
      <c r="F622" s="279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</row>
    <row r="623" ht="15.75" customHeight="1">
      <c r="A623" s="234"/>
      <c r="B623" s="277"/>
      <c r="C623" s="278"/>
      <c r="D623" s="279"/>
      <c r="E623" s="279"/>
      <c r="F623" s="279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</row>
    <row r="624" ht="15.75" customHeight="1">
      <c r="A624" s="234"/>
      <c r="B624" s="277"/>
      <c r="C624" s="278"/>
      <c r="D624" s="279"/>
      <c r="E624" s="279"/>
      <c r="F624" s="279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</row>
    <row r="625" ht="15.75" customHeight="1">
      <c r="A625" s="234"/>
      <c r="B625" s="277"/>
      <c r="C625" s="278"/>
      <c r="D625" s="279"/>
      <c r="E625" s="279"/>
      <c r="F625" s="279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</row>
    <row r="626" ht="15.75" customHeight="1">
      <c r="A626" s="234"/>
      <c r="B626" s="277"/>
      <c r="C626" s="278"/>
      <c r="D626" s="279"/>
      <c r="E626" s="279"/>
      <c r="F626" s="279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</row>
    <row r="627" ht="15.75" customHeight="1">
      <c r="A627" s="234"/>
      <c r="B627" s="277"/>
      <c r="C627" s="278"/>
      <c r="D627" s="279"/>
      <c r="E627" s="279"/>
      <c r="F627" s="279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</row>
    <row r="628" ht="15.75" customHeight="1">
      <c r="A628" s="234"/>
      <c r="B628" s="277"/>
      <c r="C628" s="278"/>
      <c r="D628" s="279"/>
      <c r="E628" s="279"/>
      <c r="F628" s="279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</row>
    <row r="629" ht="15.75" customHeight="1">
      <c r="A629" s="234"/>
      <c r="B629" s="277"/>
      <c r="C629" s="278"/>
      <c r="D629" s="279"/>
      <c r="E629" s="279"/>
      <c r="F629" s="279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</row>
    <row r="630" ht="15.75" customHeight="1">
      <c r="A630" s="234"/>
      <c r="B630" s="277"/>
      <c r="C630" s="278"/>
      <c r="D630" s="279"/>
      <c r="E630" s="279"/>
      <c r="F630" s="279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</row>
    <row r="631" ht="15.75" customHeight="1">
      <c r="A631" s="234"/>
      <c r="B631" s="277"/>
      <c r="C631" s="278"/>
      <c r="D631" s="279"/>
      <c r="E631" s="279"/>
      <c r="F631" s="279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</row>
    <row r="632" ht="15.75" customHeight="1">
      <c r="A632" s="234"/>
      <c r="B632" s="277"/>
      <c r="C632" s="278"/>
      <c r="D632" s="279"/>
      <c r="E632" s="279"/>
      <c r="F632" s="279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</row>
    <row r="633" ht="15.75" customHeight="1">
      <c r="A633" s="234"/>
      <c r="B633" s="277"/>
      <c r="C633" s="278"/>
      <c r="D633" s="279"/>
      <c r="E633" s="279"/>
      <c r="F633" s="279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</row>
    <row r="634" ht="15.75" customHeight="1">
      <c r="A634" s="234"/>
      <c r="B634" s="277"/>
      <c r="C634" s="278"/>
      <c r="D634" s="279"/>
      <c r="E634" s="279"/>
      <c r="F634" s="279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</row>
    <row r="635" ht="15.75" customHeight="1">
      <c r="A635" s="234"/>
      <c r="B635" s="277"/>
      <c r="C635" s="278"/>
      <c r="D635" s="279"/>
      <c r="E635" s="279"/>
      <c r="F635" s="279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</row>
    <row r="636" ht="15.75" customHeight="1">
      <c r="A636" s="234"/>
      <c r="B636" s="277"/>
      <c r="C636" s="278"/>
      <c r="D636" s="279"/>
      <c r="E636" s="279"/>
      <c r="F636" s="279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</row>
    <row r="637" ht="15.75" customHeight="1">
      <c r="A637" s="234"/>
      <c r="B637" s="277"/>
      <c r="C637" s="278"/>
      <c r="D637" s="279"/>
      <c r="E637" s="279"/>
      <c r="F637" s="279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</row>
    <row r="638" ht="15.75" customHeight="1">
      <c r="A638" s="234"/>
      <c r="B638" s="277"/>
      <c r="C638" s="278"/>
      <c r="D638" s="279"/>
      <c r="E638" s="279"/>
      <c r="F638" s="279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</row>
    <row r="639" ht="15.75" customHeight="1">
      <c r="A639" s="234"/>
      <c r="B639" s="277"/>
      <c r="C639" s="278"/>
      <c r="D639" s="279"/>
      <c r="E639" s="279"/>
      <c r="F639" s="279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</row>
    <row r="640" ht="15.75" customHeight="1">
      <c r="A640" s="234"/>
      <c r="B640" s="277"/>
      <c r="C640" s="278"/>
      <c r="D640" s="279"/>
      <c r="E640" s="279"/>
      <c r="F640" s="279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</row>
    <row r="641" ht="15.75" customHeight="1">
      <c r="A641" s="234"/>
      <c r="B641" s="277"/>
      <c r="C641" s="278"/>
      <c r="D641" s="279"/>
      <c r="E641" s="279"/>
      <c r="F641" s="279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</row>
    <row r="642" ht="15.75" customHeight="1">
      <c r="A642" s="234"/>
      <c r="B642" s="277"/>
      <c r="C642" s="278"/>
      <c r="D642" s="279"/>
      <c r="E642" s="279"/>
      <c r="F642" s="279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</row>
    <row r="643" ht="15.75" customHeight="1">
      <c r="A643" s="234"/>
      <c r="B643" s="277"/>
      <c r="C643" s="278"/>
      <c r="D643" s="279"/>
      <c r="E643" s="279"/>
      <c r="F643" s="279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</row>
    <row r="644" ht="15.75" customHeight="1">
      <c r="A644" s="234"/>
      <c r="B644" s="277"/>
      <c r="C644" s="278"/>
      <c r="D644" s="279"/>
      <c r="E644" s="279"/>
      <c r="F644" s="279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</row>
    <row r="645" ht="15.75" customHeight="1">
      <c r="A645" s="234"/>
      <c r="B645" s="277"/>
      <c r="C645" s="278"/>
      <c r="D645" s="279"/>
      <c r="E645" s="279"/>
      <c r="F645" s="279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</row>
    <row r="646" ht="15.75" customHeight="1">
      <c r="A646" s="234"/>
      <c r="B646" s="277"/>
      <c r="C646" s="278"/>
      <c r="D646" s="279"/>
      <c r="E646" s="279"/>
      <c r="F646" s="279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</row>
    <row r="647" ht="15.75" customHeight="1">
      <c r="A647" s="234"/>
      <c r="B647" s="277"/>
      <c r="C647" s="278"/>
      <c r="D647" s="279"/>
      <c r="E647" s="279"/>
      <c r="F647" s="279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</row>
    <row r="648" ht="15.75" customHeight="1">
      <c r="A648" s="234"/>
      <c r="B648" s="277"/>
      <c r="C648" s="278"/>
      <c r="D648" s="279"/>
      <c r="E648" s="279"/>
      <c r="F648" s="279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</row>
    <row r="649" ht="15.75" customHeight="1">
      <c r="A649" s="234"/>
      <c r="B649" s="277"/>
      <c r="C649" s="278"/>
      <c r="D649" s="279"/>
      <c r="E649" s="279"/>
      <c r="F649" s="279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</row>
    <row r="650" ht="15.75" customHeight="1">
      <c r="A650" s="234"/>
      <c r="B650" s="277"/>
      <c r="C650" s="278"/>
      <c r="D650" s="279"/>
      <c r="E650" s="279"/>
      <c r="F650" s="279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</row>
    <row r="651" ht="15.75" customHeight="1">
      <c r="A651" s="234"/>
      <c r="B651" s="277"/>
      <c r="C651" s="278"/>
      <c r="D651" s="279"/>
      <c r="E651" s="279"/>
      <c r="F651" s="279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</row>
    <row r="652" ht="15.75" customHeight="1">
      <c r="A652" s="234"/>
      <c r="B652" s="277"/>
      <c r="C652" s="278"/>
      <c r="D652" s="279"/>
      <c r="E652" s="279"/>
      <c r="F652" s="279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</row>
    <row r="653" ht="15.75" customHeight="1">
      <c r="A653" s="234"/>
      <c r="B653" s="277"/>
      <c r="C653" s="278"/>
      <c r="D653" s="279"/>
      <c r="E653" s="279"/>
      <c r="F653" s="279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</row>
    <row r="654" ht="15.75" customHeight="1">
      <c r="A654" s="234"/>
      <c r="B654" s="277"/>
      <c r="C654" s="278"/>
      <c r="D654" s="279"/>
      <c r="E654" s="279"/>
      <c r="F654" s="279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</row>
    <row r="655" ht="15.75" customHeight="1">
      <c r="A655" s="234"/>
      <c r="B655" s="277"/>
      <c r="C655" s="278"/>
      <c r="D655" s="279"/>
      <c r="E655" s="279"/>
      <c r="F655" s="279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</row>
    <row r="656" ht="15.75" customHeight="1">
      <c r="A656" s="234"/>
      <c r="B656" s="277"/>
      <c r="C656" s="278"/>
      <c r="D656" s="279"/>
      <c r="E656" s="279"/>
      <c r="F656" s="279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</row>
    <row r="657" ht="15.75" customHeight="1">
      <c r="A657" s="234"/>
      <c r="B657" s="277"/>
      <c r="C657" s="278"/>
      <c r="D657" s="279"/>
      <c r="E657" s="279"/>
      <c r="F657" s="279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</row>
    <row r="658" ht="15.75" customHeight="1">
      <c r="A658" s="234"/>
      <c r="B658" s="277"/>
      <c r="C658" s="278"/>
      <c r="D658" s="279"/>
      <c r="E658" s="279"/>
      <c r="F658" s="279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</row>
    <row r="659" ht="15.75" customHeight="1">
      <c r="A659" s="234"/>
      <c r="B659" s="277"/>
      <c r="C659" s="278"/>
      <c r="D659" s="279"/>
      <c r="E659" s="279"/>
      <c r="F659" s="279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</row>
    <row r="660" ht="15.75" customHeight="1">
      <c r="A660" s="234"/>
      <c r="B660" s="277"/>
      <c r="C660" s="278"/>
      <c r="D660" s="279"/>
      <c r="E660" s="279"/>
      <c r="F660" s="279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</row>
    <row r="661" ht="15.75" customHeight="1">
      <c r="A661" s="234"/>
      <c r="B661" s="277"/>
      <c r="C661" s="278"/>
      <c r="D661" s="279"/>
      <c r="E661" s="279"/>
      <c r="F661" s="279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</row>
    <row r="662" ht="15.75" customHeight="1">
      <c r="A662" s="234"/>
      <c r="B662" s="277"/>
      <c r="C662" s="278"/>
      <c r="D662" s="279"/>
      <c r="E662" s="279"/>
      <c r="F662" s="279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</row>
    <row r="663" ht="15.75" customHeight="1">
      <c r="A663" s="234"/>
      <c r="B663" s="277"/>
      <c r="C663" s="278"/>
      <c r="D663" s="279"/>
      <c r="E663" s="279"/>
      <c r="F663" s="279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</row>
    <row r="664" ht="15.75" customHeight="1">
      <c r="A664" s="234"/>
      <c r="B664" s="277"/>
      <c r="C664" s="278"/>
      <c r="D664" s="279"/>
      <c r="E664" s="279"/>
      <c r="F664" s="279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</row>
    <row r="665" ht="15.75" customHeight="1">
      <c r="A665" s="234"/>
      <c r="B665" s="277"/>
      <c r="C665" s="278"/>
      <c r="D665" s="279"/>
      <c r="E665" s="279"/>
      <c r="F665" s="279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</row>
    <row r="666" ht="15.75" customHeight="1">
      <c r="A666" s="234"/>
      <c r="B666" s="277"/>
      <c r="C666" s="278"/>
      <c r="D666" s="279"/>
      <c r="E666" s="279"/>
      <c r="F666" s="279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</row>
    <row r="667" ht="15.75" customHeight="1">
      <c r="A667" s="234"/>
      <c r="B667" s="277"/>
      <c r="C667" s="278"/>
      <c r="D667" s="279"/>
      <c r="E667" s="279"/>
      <c r="F667" s="279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</row>
    <row r="668" ht="15.75" customHeight="1">
      <c r="A668" s="234"/>
      <c r="B668" s="277"/>
      <c r="C668" s="278"/>
      <c r="D668" s="279"/>
      <c r="E668" s="279"/>
      <c r="F668" s="279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</row>
    <row r="669" ht="15.75" customHeight="1">
      <c r="A669" s="234"/>
      <c r="B669" s="277"/>
      <c r="C669" s="278"/>
      <c r="D669" s="279"/>
      <c r="E669" s="279"/>
      <c r="F669" s="279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</row>
    <row r="670" ht="15.75" customHeight="1">
      <c r="A670" s="234"/>
      <c r="B670" s="277"/>
      <c r="C670" s="278"/>
      <c r="D670" s="279"/>
      <c r="E670" s="279"/>
      <c r="F670" s="279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</row>
    <row r="671" ht="15.75" customHeight="1">
      <c r="A671" s="234"/>
      <c r="B671" s="277"/>
      <c r="C671" s="278"/>
      <c r="D671" s="279"/>
      <c r="E671" s="279"/>
      <c r="F671" s="279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</row>
    <row r="672" ht="15.75" customHeight="1">
      <c r="A672" s="234"/>
      <c r="B672" s="277"/>
      <c r="C672" s="278"/>
      <c r="D672" s="279"/>
      <c r="E672" s="279"/>
      <c r="F672" s="279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</row>
    <row r="673" ht="15.75" customHeight="1">
      <c r="A673" s="234"/>
      <c r="B673" s="277"/>
      <c r="C673" s="278"/>
      <c r="D673" s="279"/>
      <c r="E673" s="279"/>
      <c r="F673" s="279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</row>
    <row r="674" ht="15.75" customHeight="1">
      <c r="A674" s="234"/>
      <c r="B674" s="277"/>
      <c r="C674" s="278"/>
      <c r="D674" s="279"/>
      <c r="E674" s="279"/>
      <c r="F674" s="279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</row>
    <row r="675" ht="15.75" customHeight="1">
      <c r="A675" s="234"/>
      <c r="B675" s="277"/>
      <c r="C675" s="278"/>
      <c r="D675" s="279"/>
      <c r="E675" s="279"/>
      <c r="F675" s="279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</row>
    <row r="676" ht="15.75" customHeight="1">
      <c r="A676" s="234"/>
      <c r="B676" s="277"/>
      <c r="C676" s="278"/>
      <c r="D676" s="279"/>
      <c r="E676" s="279"/>
      <c r="F676" s="279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</row>
    <row r="677" ht="15.75" customHeight="1">
      <c r="A677" s="234"/>
      <c r="B677" s="277"/>
      <c r="C677" s="278"/>
      <c r="D677" s="279"/>
      <c r="E677" s="279"/>
      <c r="F677" s="279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</row>
    <row r="678" ht="15.75" customHeight="1">
      <c r="A678" s="234"/>
      <c r="B678" s="277"/>
      <c r="C678" s="278"/>
      <c r="D678" s="279"/>
      <c r="E678" s="279"/>
      <c r="F678" s="279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</row>
    <row r="679" ht="15.75" customHeight="1">
      <c r="A679" s="234"/>
      <c r="B679" s="277"/>
      <c r="C679" s="278"/>
      <c r="D679" s="279"/>
      <c r="E679" s="279"/>
      <c r="F679" s="279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</row>
    <row r="680" ht="15.75" customHeight="1">
      <c r="A680" s="234"/>
      <c r="B680" s="277"/>
      <c r="C680" s="278"/>
      <c r="D680" s="279"/>
      <c r="E680" s="279"/>
      <c r="F680" s="279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</row>
    <row r="681" ht="15.75" customHeight="1">
      <c r="A681" s="234"/>
      <c r="B681" s="277"/>
      <c r="C681" s="278"/>
      <c r="D681" s="279"/>
      <c r="E681" s="279"/>
      <c r="F681" s="279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</row>
    <row r="682" ht="15.75" customHeight="1">
      <c r="A682" s="234"/>
      <c r="B682" s="277"/>
      <c r="C682" s="278"/>
      <c r="D682" s="279"/>
      <c r="E682" s="279"/>
      <c r="F682" s="279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</row>
    <row r="683" ht="15.75" customHeight="1">
      <c r="A683" s="234"/>
      <c r="B683" s="277"/>
      <c r="C683" s="278"/>
      <c r="D683" s="279"/>
      <c r="E683" s="279"/>
      <c r="F683" s="279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</row>
    <row r="684" ht="15.75" customHeight="1">
      <c r="A684" s="234"/>
      <c r="B684" s="277"/>
      <c r="C684" s="278"/>
      <c r="D684" s="279"/>
      <c r="E684" s="279"/>
      <c r="F684" s="279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</row>
    <row r="685" ht="15.75" customHeight="1">
      <c r="A685" s="234"/>
      <c r="B685" s="277"/>
      <c r="C685" s="278"/>
      <c r="D685" s="279"/>
      <c r="E685" s="279"/>
      <c r="F685" s="279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</row>
    <row r="686" ht="15.75" customHeight="1">
      <c r="A686" s="234"/>
      <c r="B686" s="277"/>
      <c r="C686" s="278"/>
      <c r="D686" s="279"/>
      <c r="E686" s="279"/>
      <c r="F686" s="279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</row>
    <row r="687" ht="15.75" customHeight="1">
      <c r="A687" s="234"/>
      <c r="B687" s="277"/>
      <c r="C687" s="278"/>
      <c r="D687" s="279"/>
      <c r="E687" s="279"/>
      <c r="F687" s="279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</row>
    <row r="688" ht="15.75" customHeight="1">
      <c r="A688" s="234"/>
      <c r="B688" s="277"/>
      <c r="C688" s="278"/>
      <c r="D688" s="279"/>
      <c r="E688" s="279"/>
      <c r="F688" s="279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</row>
    <row r="689" ht="15.75" customHeight="1">
      <c r="A689" s="234"/>
      <c r="B689" s="277"/>
      <c r="C689" s="278"/>
      <c r="D689" s="279"/>
      <c r="E689" s="279"/>
      <c r="F689" s="279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</row>
    <row r="690" ht="15.75" customHeight="1">
      <c r="A690" s="234"/>
      <c r="B690" s="277"/>
      <c r="C690" s="278"/>
      <c r="D690" s="279"/>
      <c r="E690" s="279"/>
      <c r="F690" s="279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</row>
    <row r="691" ht="15.75" customHeight="1">
      <c r="A691" s="234"/>
      <c r="B691" s="277"/>
      <c r="C691" s="278"/>
      <c r="D691" s="279"/>
      <c r="E691" s="279"/>
      <c r="F691" s="279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</row>
    <row r="692" ht="15.75" customHeight="1">
      <c r="A692" s="234"/>
      <c r="B692" s="277"/>
      <c r="C692" s="278"/>
      <c r="D692" s="279"/>
      <c r="E692" s="279"/>
      <c r="F692" s="279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</row>
    <row r="693" ht="15.75" customHeight="1">
      <c r="A693" s="234"/>
      <c r="B693" s="277"/>
      <c r="C693" s="278"/>
      <c r="D693" s="279"/>
      <c r="E693" s="279"/>
      <c r="F693" s="279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</row>
    <row r="694" ht="15.75" customHeight="1">
      <c r="A694" s="234"/>
      <c r="B694" s="277"/>
      <c r="C694" s="278"/>
      <c r="D694" s="279"/>
      <c r="E694" s="279"/>
      <c r="F694" s="279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</row>
    <row r="695" ht="15.75" customHeight="1">
      <c r="A695" s="234"/>
      <c r="B695" s="277"/>
      <c r="C695" s="278"/>
      <c r="D695" s="279"/>
      <c r="E695" s="279"/>
      <c r="F695" s="279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</row>
    <row r="696" ht="15.75" customHeight="1">
      <c r="A696" s="234"/>
      <c r="B696" s="277"/>
      <c r="C696" s="278"/>
      <c r="D696" s="279"/>
      <c r="E696" s="279"/>
      <c r="F696" s="279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</row>
    <row r="697" ht="15.75" customHeight="1">
      <c r="A697" s="234"/>
      <c r="B697" s="277"/>
      <c r="C697" s="278"/>
      <c r="D697" s="279"/>
      <c r="E697" s="279"/>
      <c r="F697" s="279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</row>
    <row r="698" ht="15.75" customHeight="1">
      <c r="A698" s="234"/>
      <c r="B698" s="277"/>
      <c r="C698" s="278"/>
      <c r="D698" s="279"/>
      <c r="E698" s="279"/>
      <c r="F698" s="279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</row>
    <row r="699" ht="15.75" customHeight="1">
      <c r="A699" s="234"/>
      <c r="B699" s="277"/>
      <c r="C699" s="278"/>
      <c r="D699" s="279"/>
      <c r="E699" s="279"/>
      <c r="F699" s="279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</row>
    <row r="700" ht="15.75" customHeight="1">
      <c r="A700" s="234"/>
      <c r="B700" s="277"/>
      <c r="C700" s="278"/>
      <c r="D700" s="279"/>
      <c r="E700" s="279"/>
      <c r="F700" s="279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</row>
    <row r="701" ht="15.75" customHeight="1">
      <c r="A701" s="234"/>
      <c r="B701" s="277"/>
      <c r="C701" s="278"/>
      <c r="D701" s="279"/>
      <c r="E701" s="279"/>
      <c r="F701" s="279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</row>
    <row r="702" ht="15.75" customHeight="1">
      <c r="A702" s="234"/>
      <c r="B702" s="277"/>
      <c r="C702" s="278"/>
      <c r="D702" s="279"/>
      <c r="E702" s="279"/>
      <c r="F702" s="279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</row>
    <row r="703" ht="15.75" customHeight="1">
      <c r="A703" s="234"/>
      <c r="B703" s="277"/>
      <c r="C703" s="278"/>
      <c r="D703" s="279"/>
      <c r="E703" s="279"/>
      <c r="F703" s="279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</row>
    <row r="704" ht="15.75" customHeight="1">
      <c r="A704" s="234"/>
      <c r="B704" s="277"/>
      <c r="C704" s="278"/>
      <c r="D704" s="279"/>
      <c r="E704" s="279"/>
      <c r="F704" s="279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</row>
    <row r="705" ht="15.75" customHeight="1">
      <c r="A705" s="234"/>
      <c r="B705" s="277"/>
      <c r="C705" s="278"/>
      <c r="D705" s="279"/>
      <c r="E705" s="279"/>
      <c r="F705" s="279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</row>
    <row r="706" ht="15.75" customHeight="1">
      <c r="A706" s="234"/>
      <c r="B706" s="277"/>
      <c r="C706" s="278"/>
      <c r="D706" s="279"/>
      <c r="E706" s="279"/>
      <c r="F706" s="279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</row>
    <row r="707" ht="15.75" customHeight="1">
      <c r="A707" s="234"/>
      <c r="B707" s="277"/>
      <c r="C707" s="278"/>
      <c r="D707" s="279"/>
      <c r="E707" s="279"/>
      <c r="F707" s="279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</row>
    <row r="708" ht="15.75" customHeight="1">
      <c r="A708" s="234"/>
      <c r="B708" s="277"/>
      <c r="C708" s="278"/>
      <c r="D708" s="279"/>
      <c r="E708" s="279"/>
      <c r="F708" s="279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</row>
    <row r="709" ht="15.75" customHeight="1">
      <c r="A709" s="234"/>
      <c r="B709" s="277"/>
      <c r="C709" s="278"/>
      <c r="D709" s="279"/>
      <c r="E709" s="279"/>
      <c r="F709" s="279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</row>
    <row r="710" ht="15.75" customHeight="1">
      <c r="A710" s="234"/>
      <c r="B710" s="277"/>
      <c r="C710" s="278"/>
      <c r="D710" s="279"/>
      <c r="E710" s="279"/>
      <c r="F710" s="279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</row>
    <row r="711" ht="15.75" customHeight="1">
      <c r="A711" s="234"/>
      <c r="B711" s="277"/>
      <c r="C711" s="278"/>
      <c r="D711" s="279"/>
      <c r="E711" s="279"/>
      <c r="F711" s="279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</row>
    <row r="712" ht="15.75" customHeight="1">
      <c r="A712" s="234"/>
      <c r="B712" s="277"/>
      <c r="C712" s="278"/>
      <c r="D712" s="279"/>
      <c r="E712" s="279"/>
      <c r="F712" s="279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</row>
    <row r="713" ht="15.75" customHeight="1">
      <c r="A713" s="234"/>
      <c r="B713" s="277"/>
      <c r="C713" s="278"/>
      <c r="D713" s="279"/>
      <c r="E713" s="279"/>
      <c r="F713" s="279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</row>
    <row r="714" ht="15.75" customHeight="1">
      <c r="A714" s="234"/>
      <c r="B714" s="277"/>
      <c r="C714" s="278"/>
      <c r="D714" s="279"/>
      <c r="E714" s="279"/>
      <c r="F714" s="279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</row>
    <row r="715" ht="15.75" customHeight="1">
      <c r="A715" s="234"/>
      <c r="B715" s="277"/>
      <c r="C715" s="278"/>
      <c r="D715" s="279"/>
      <c r="E715" s="279"/>
      <c r="F715" s="279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</row>
    <row r="716" ht="15.75" customHeight="1">
      <c r="A716" s="234"/>
      <c r="B716" s="277"/>
      <c r="C716" s="278"/>
      <c r="D716" s="279"/>
      <c r="E716" s="279"/>
      <c r="F716" s="279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</row>
    <row r="717" ht="15.75" customHeight="1">
      <c r="A717" s="234"/>
      <c r="B717" s="277"/>
      <c r="C717" s="278"/>
      <c r="D717" s="279"/>
      <c r="E717" s="279"/>
      <c r="F717" s="279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</row>
    <row r="718" ht="15.75" customHeight="1">
      <c r="A718" s="234"/>
      <c r="B718" s="277"/>
      <c r="C718" s="278"/>
      <c r="D718" s="279"/>
      <c r="E718" s="279"/>
      <c r="F718" s="279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</row>
    <row r="719" ht="15.75" customHeight="1">
      <c r="A719" s="234"/>
      <c r="B719" s="277"/>
      <c r="C719" s="278"/>
      <c r="D719" s="279"/>
      <c r="E719" s="279"/>
      <c r="F719" s="279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</row>
    <row r="720" ht="15.75" customHeight="1">
      <c r="A720" s="234"/>
      <c r="B720" s="277"/>
      <c r="C720" s="278"/>
      <c r="D720" s="279"/>
      <c r="E720" s="279"/>
      <c r="F720" s="279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</row>
    <row r="721" ht="15.75" customHeight="1">
      <c r="A721" s="234"/>
      <c r="B721" s="277"/>
      <c r="C721" s="278"/>
      <c r="D721" s="279"/>
      <c r="E721" s="279"/>
      <c r="F721" s="279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</row>
    <row r="722" ht="15.75" customHeight="1">
      <c r="A722" s="234"/>
      <c r="B722" s="277"/>
      <c r="C722" s="278"/>
      <c r="D722" s="279"/>
      <c r="E722" s="279"/>
      <c r="F722" s="279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</row>
    <row r="723" ht="15.75" customHeight="1">
      <c r="A723" s="234"/>
      <c r="B723" s="277"/>
      <c r="C723" s="278"/>
      <c r="D723" s="279"/>
      <c r="E723" s="279"/>
      <c r="F723" s="279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</row>
    <row r="724" ht="15.75" customHeight="1">
      <c r="A724" s="234"/>
      <c r="B724" s="277"/>
      <c r="C724" s="278"/>
      <c r="D724" s="279"/>
      <c r="E724" s="279"/>
      <c r="F724" s="279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</row>
    <row r="725" ht="15.75" customHeight="1">
      <c r="A725" s="234"/>
      <c r="B725" s="277"/>
      <c r="C725" s="278"/>
      <c r="D725" s="279"/>
      <c r="E725" s="279"/>
      <c r="F725" s="279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</row>
    <row r="726" ht="15.75" customHeight="1">
      <c r="A726" s="234"/>
      <c r="B726" s="277"/>
      <c r="C726" s="278"/>
      <c r="D726" s="279"/>
      <c r="E726" s="279"/>
      <c r="F726" s="279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</row>
    <row r="727" ht="15.75" customHeight="1">
      <c r="A727" s="234"/>
      <c r="B727" s="277"/>
      <c r="C727" s="278"/>
      <c r="D727" s="279"/>
      <c r="E727" s="279"/>
      <c r="F727" s="279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</row>
    <row r="728" ht="15.75" customHeight="1">
      <c r="A728" s="234"/>
      <c r="B728" s="277"/>
      <c r="C728" s="278"/>
      <c r="D728" s="279"/>
      <c r="E728" s="279"/>
      <c r="F728" s="279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</row>
    <row r="729" ht="15.75" customHeight="1">
      <c r="A729" s="234"/>
      <c r="B729" s="277"/>
      <c r="C729" s="278"/>
      <c r="D729" s="279"/>
      <c r="E729" s="279"/>
      <c r="F729" s="279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</row>
    <row r="730" ht="15.75" customHeight="1">
      <c r="A730" s="234"/>
      <c r="B730" s="277"/>
      <c r="C730" s="278"/>
      <c r="D730" s="279"/>
      <c r="E730" s="279"/>
      <c r="F730" s="279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</row>
    <row r="731" ht="15.75" customHeight="1">
      <c r="A731" s="234"/>
      <c r="B731" s="277"/>
      <c r="C731" s="278"/>
      <c r="D731" s="279"/>
      <c r="E731" s="279"/>
      <c r="F731" s="279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</row>
    <row r="732" ht="15.75" customHeight="1">
      <c r="A732" s="234"/>
      <c r="B732" s="277"/>
      <c r="C732" s="278"/>
      <c r="D732" s="279"/>
      <c r="E732" s="279"/>
      <c r="F732" s="279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</row>
    <row r="733" ht="15.75" customHeight="1">
      <c r="A733" s="234"/>
      <c r="B733" s="277"/>
      <c r="C733" s="278"/>
      <c r="D733" s="279"/>
      <c r="E733" s="279"/>
      <c r="F733" s="279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</row>
    <row r="734" ht="15.75" customHeight="1">
      <c r="A734" s="234"/>
      <c r="B734" s="277"/>
      <c r="C734" s="278"/>
      <c r="D734" s="279"/>
      <c r="E734" s="279"/>
      <c r="F734" s="279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</row>
    <row r="735" ht="15.75" customHeight="1">
      <c r="A735" s="234"/>
      <c r="B735" s="277"/>
      <c r="C735" s="278"/>
      <c r="D735" s="279"/>
      <c r="E735" s="279"/>
      <c r="F735" s="279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</row>
    <row r="736" ht="15.75" customHeight="1">
      <c r="A736" s="234"/>
      <c r="B736" s="277"/>
      <c r="C736" s="278"/>
      <c r="D736" s="279"/>
      <c r="E736" s="279"/>
      <c r="F736" s="279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</row>
    <row r="737" ht="15.75" customHeight="1">
      <c r="A737" s="234"/>
      <c r="B737" s="277"/>
      <c r="C737" s="278"/>
      <c r="D737" s="279"/>
      <c r="E737" s="279"/>
      <c r="F737" s="279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</row>
    <row r="738" ht="15.75" customHeight="1">
      <c r="A738" s="234"/>
      <c r="B738" s="277"/>
      <c r="C738" s="278"/>
      <c r="D738" s="279"/>
      <c r="E738" s="279"/>
      <c r="F738" s="279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</row>
    <row r="739" ht="15.75" customHeight="1">
      <c r="A739" s="234"/>
      <c r="B739" s="277"/>
      <c r="C739" s="278"/>
      <c r="D739" s="279"/>
      <c r="E739" s="279"/>
      <c r="F739" s="279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</row>
    <row r="740" ht="15.75" customHeight="1">
      <c r="A740" s="234"/>
      <c r="B740" s="277"/>
      <c r="C740" s="278"/>
      <c r="D740" s="279"/>
      <c r="E740" s="279"/>
      <c r="F740" s="279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</row>
    <row r="741" ht="15.75" customHeight="1">
      <c r="A741" s="234"/>
      <c r="B741" s="277"/>
      <c r="C741" s="278"/>
      <c r="D741" s="279"/>
      <c r="E741" s="279"/>
      <c r="F741" s="279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</row>
    <row r="742" ht="15.75" customHeight="1">
      <c r="A742" s="234"/>
      <c r="B742" s="277"/>
      <c r="C742" s="278"/>
      <c r="D742" s="279"/>
      <c r="E742" s="279"/>
      <c r="F742" s="279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</row>
    <row r="743" ht="15.75" customHeight="1">
      <c r="A743" s="234"/>
      <c r="B743" s="277"/>
      <c r="C743" s="278"/>
      <c r="D743" s="279"/>
      <c r="E743" s="279"/>
      <c r="F743" s="279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</row>
    <row r="744" ht="15.75" customHeight="1">
      <c r="A744" s="234"/>
      <c r="B744" s="277"/>
      <c r="C744" s="278"/>
      <c r="D744" s="279"/>
      <c r="E744" s="279"/>
      <c r="F744" s="279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</row>
    <row r="745" ht="15.75" customHeight="1">
      <c r="A745" s="234"/>
      <c r="B745" s="277"/>
      <c r="C745" s="278"/>
      <c r="D745" s="279"/>
      <c r="E745" s="279"/>
      <c r="F745" s="279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</row>
    <row r="746" ht="15.75" customHeight="1">
      <c r="A746" s="234"/>
      <c r="B746" s="277"/>
      <c r="C746" s="278"/>
      <c r="D746" s="279"/>
      <c r="E746" s="279"/>
      <c r="F746" s="279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</row>
    <row r="747" ht="15.75" customHeight="1">
      <c r="A747" s="234"/>
      <c r="B747" s="277"/>
      <c r="C747" s="278"/>
      <c r="D747" s="279"/>
      <c r="E747" s="279"/>
      <c r="F747" s="279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</row>
    <row r="748" ht="15.75" customHeight="1">
      <c r="A748" s="234"/>
      <c r="B748" s="277"/>
      <c r="C748" s="278"/>
      <c r="D748" s="279"/>
      <c r="E748" s="279"/>
      <c r="F748" s="279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</row>
    <row r="749" ht="15.75" customHeight="1">
      <c r="A749" s="234"/>
      <c r="B749" s="277"/>
      <c r="C749" s="278"/>
      <c r="D749" s="279"/>
      <c r="E749" s="279"/>
      <c r="F749" s="279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</row>
    <row r="750" ht="15.75" customHeight="1">
      <c r="A750" s="234"/>
      <c r="B750" s="277"/>
      <c r="C750" s="278"/>
      <c r="D750" s="279"/>
      <c r="E750" s="279"/>
      <c r="F750" s="279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</row>
    <row r="751" ht="15.75" customHeight="1">
      <c r="A751" s="234"/>
      <c r="B751" s="277"/>
      <c r="C751" s="278"/>
      <c r="D751" s="279"/>
      <c r="E751" s="279"/>
      <c r="F751" s="279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</row>
    <row r="752" ht="15.75" customHeight="1">
      <c r="A752" s="234"/>
      <c r="B752" s="277"/>
      <c r="C752" s="278"/>
      <c r="D752" s="279"/>
      <c r="E752" s="279"/>
      <c r="F752" s="279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</row>
    <row r="753" ht="15.75" customHeight="1">
      <c r="A753" s="234"/>
      <c r="B753" s="277"/>
      <c r="C753" s="278"/>
      <c r="D753" s="279"/>
      <c r="E753" s="279"/>
      <c r="F753" s="279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</row>
    <row r="754" ht="15.75" customHeight="1">
      <c r="A754" s="234"/>
      <c r="B754" s="277"/>
      <c r="C754" s="278"/>
      <c r="D754" s="279"/>
      <c r="E754" s="279"/>
      <c r="F754" s="279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</row>
    <row r="755" ht="15.75" customHeight="1">
      <c r="A755" s="234"/>
      <c r="B755" s="277"/>
      <c r="C755" s="278"/>
      <c r="D755" s="279"/>
      <c r="E755" s="279"/>
      <c r="F755" s="279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</row>
    <row r="756" ht="15.75" customHeight="1">
      <c r="A756" s="234"/>
      <c r="B756" s="277"/>
      <c r="C756" s="278"/>
      <c r="D756" s="279"/>
      <c r="E756" s="279"/>
      <c r="F756" s="279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</row>
    <row r="757" ht="15.75" customHeight="1">
      <c r="A757" s="234"/>
      <c r="B757" s="277"/>
      <c r="C757" s="278"/>
      <c r="D757" s="279"/>
      <c r="E757" s="279"/>
      <c r="F757" s="279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</row>
    <row r="758" ht="15.75" customHeight="1">
      <c r="A758" s="234"/>
      <c r="B758" s="277"/>
      <c r="C758" s="278"/>
      <c r="D758" s="279"/>
      <c r="E758" s="279"/>
      <c r="F758" s="279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</row>
    <row r="759" ht="15.75" customHeight="1">
      <c r="A759" s="234"/>
      <c r="B759" s="277"/>
      <c r="C759" s="278"/>
      <c r="D759" s="279"/>
      <c r="E759" s="279"/>
      <c r="F759" s="279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</row>
    <row r="760" ht="15.75" customHeight="1">
      <c r="A760" s="234"/>
      <c r="B760" s="277"/>
      <c r="C760" s="278"/>
      <c r="D760" s="279"/>
      <c r="E760" s="279"/>
      <c r="F760" s="279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</row>
    <row r="761" ht="15.75" customHeight="1">
      <c r="A761" s="234"/>
      <c r="B761" s="277"/>
      <c r="C761" s="278"/>
      <c r="D761" s="279"/>
      <c r="E761" s="279"/>
      <c r="F761" s="279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 ht="15.75" customHeight="1">
      <c r="A762" s="234"/>
      <c r="B762" s="277"/>
      <c r="C762" s="278"/>
      <c r="D762" s="279"/>
      <c r="E762" s="279"/>
      <c r="F762" s="279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</row>
    <row r="763" ht="15.75" customHeight="1">
      <c r="A763" s="234"/>
      <c r="B763" s="277"/>
      <c r="C763" s="278"/>
      <c r="D763" s="279"/>
      <c r="E763" s="279"/>
      <c r="F763" s="279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</row>
    <row r="764" ht="15.75" customHeight="1">
      <c r="A764" s="234"/>
      <c r="B764" s="277"/>
      <c r="C764" s="278"/>
      <c r="D764" s="279"/>
      <c r="E764" s="279"/>
      <c r="F764" s="279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</row>
    <row r="765" ht="15.75" customHeight="1">
      <c r="A765" s="234"/>
      <c r="B765" s="277"/>
      <c r="C765" s="278"/>
      <c r="D765" s="279"/>
      <c r="E765" s="279"/>
      <c r="F765" s="279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</row>
    <row r="766" ht="15.75" customHeight="1">
      <c r="A766" s="234"/>
      <c r="B766" s="277"/>
      <c r="C766" s="278"/>
      <c r="D766" s="279"/>
      <c r="E766" s="279"/>
      <c r="F766" s="279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</row>
    <row r="767" ht="15.75" customHeight="1">
      <c r="A767" s="234"/>
      <c r="B767" s="277"/>
      <c r="C767" s="278"/>
      <c r="D767" s="279"/>
      <c r="E767" s="279"/>
      <c r="F767" s="279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</row>
    <row r="768" ht="15.75" customHeight="1">
      <c r="A768" s="234"/>
      <c r="B768" s="277"/>
      <c r="C768" s="278"/>
      <c r="D768" s="279"/>
      <c r="E768" s="279"/>
      <c r="F768" s="279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</row>
    <row r="769" ht="15.75" customHeight="1">
      <c r="A769" s="234"/>
      <c r="B769" s="277"/>
      <c r="C769" s="278"/>
      <c r="D769" s="279"/>
      <c r="E769" s="279"/>
      <c r="F769" s="279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</row>
    <row r="770" ht="15.75" customHeight="1">
      <c r="A770" s="234"/>
      <c r="B770" s="277"/>
      <c r="C770" s="278"/>
      <c r="D770" s="279"/>
      <c r="E770" s="279"/>
      <c r="F770" s="279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</row>
    <row r="771" ht="15.75" customHeight="1">
      <c r="A771" s="234"/>
      <c r="B771" s="277"/>
      <c r="C771" s="278"/>
      <c r="D771" s="279"/>
      <c r="E771" s="279"/>
      <c r="F771" s="279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</row>
    <row r="772" ht="15.75" customHeight="1">
      <c r="A772" s="234"/>
      <c r="B772" s="277"/>
      <c r="C772" s="278"/>
      <c r="D772" s="279"/>
      <c r="E772" s="279"/>
      <c r="F772" s="279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</row>
    <row r="773" ht="15.75" customHeight="1">
      <c r="A773" s="234"/>
      <c r="B773" s="277"/>
      <c r="C773" s="278"/>
      <c r="D773" s="279"/>
      <c r="E773" s="279"/>
      <c r="F773" s="279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</row>
    <row r="774" ht="15.75" customHeight="1">
      <c r="A774" s="234"/>
      <c r="B774" s="277"/>
      <c r="C774" s="278"/>
      <c r="D774" s="279"/>
      <c r="E774" s="279"/>
      <c r="F774" s="279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</row>
    <row r="775" ht="15.75" customHeight="1">
      <c r="A775" s="234"/>
      <c r="B775" s="277"/>
      <c r="C775" s="278"/>
      <c r="D775" s="279"/>
      <c r="E775" s="279"/>
      <c r="F775" s="279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</row>
    <row r="776" ht="15.75" customHeight="1">
      <c r="A776" s="234"/>
      <c r="B776" s="277"/>
      <c r="C776" s="278"/>
      <c r="D776" s="279"/>
      <c r="E776" s="279"/>
      <c r="F776" s="279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</row>
    <row r="777" ht="15.75" customHeight="1">
      <c r="A777" s="234"/>
      <c r="B777" s="277"/>
      <c r="C777" s="278"/>
      <c r="D777" s="279"/>
      <c r="E777" s="279"/>
      <c r="F777" s="279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</row>
    <row r="778" ht="15.75" customHeight="1">
      <c r="A778" s="234"/>
      <c r="B778" s="277"/>
      <c r="C778" s="278"/>
      <c r="D778" s="279"/>
      <c r="E778" s="279"/>
      <c r="F778" s="279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</row>
    <row r="779" ht="15.75" customHeight="1">
      <c r="A779" s="234"/>
      <c r="B779" s="277"/>
      <c r="C779" s="278"/>
      <c r="D779" s="279"/>
      <c r="E779" s="279"/>
      <c r="F779" s="279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</row>
    <row r="780" ht="15.75" customHeight="1">
      <c r="A780" s="234"/>
      <c r="B780" s="277"/>
      <c r="C780" s="278"/>
      <c r="D780" s="279"/>
      <c r="E780" s="279"/>
      <c r="F780" s="279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</row>
    <row r="781" ht="15.75" customHeight="1">
      <c r="A781" s="234"/>
      <c r="B781" s="277"/>
      <c r="C781" s="278"/>
      <c r="D781" s="279"/>
      <c r="E781" s="279"/>
      <c r="F781" s="279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</row>
    <row r="782" ht="15.75" customHeight="1">
      <c r="A782" s="234"/>
      <c r="B782" s="277"/>
      <c r="C782" s="278"/>
      <c r="D782" s="279"/>
      <c r="E782" s="279"/>
      <c r="F782" s="279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</row>
    <row r="783" ht="15.75" customHeight="1">
      <c r="A783" s="234"/>
      <c r="B783" s="277"/>
      <c r="C783" s="278"/>
      <c r="D783" s="279"/>
      <c r="E783" s="279"/>
      <c r="F783" s="279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</row>
    <row r="784" ht="15.75" customHeight="1">
      <c r="A784" s="234"/>
      <c r="B784" s="277"/>
      <c r="C784" s="278"/>
      <c r="D784" s="279"/>
      <c r="E784" s="279"/>
      <c r="F784" s="279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</row>
    <row r="785" ht="15.75" customHeight="1">
      <c r="A785" s="234"/>
      <c r="B785" s="277"/>
      <c r="C785" s="278"/>
      <c r="D785" s="279"/>
      <c r="E785" s="279"/>
      <c r="F785" s="279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</row>
    <row r="786" ht="15.75" customHeight="1">
      <c r="A786" s="234"/>
      <c r="B786" s="277"/>
      <c r="C786" s="278"/>
      <c r="D786" s="279"/>
      <c r="E786" s="279"/>
      <c r="F786" s="279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</row>
    <row r="787" ht="15.75" customHeight="1">
      <c r="A787" s="234"/>
      <c r="B787" s="277"/>
      <c r="C787" s="278"/>
      <c r="D787" s="279"/>
      <c r="E787" s="279"/>
      <c r="F787" s="279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</row>
    <row r="788" ht="15.75" customHeight="1">
      <c r="A788" s="234"/>
      <c r="B788" s="277"/>
      <c r="C788" s="278"/>
      <c r="D788" s="279"/>
      <c r="E788" s="279"/>
      <c r="F788" s="279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</row>
    <row r="789" ht="15.75" customHeight="1">
      <c r="A789" s="234"/>
      <c r="B789" s="277"/>
      <c r="C789" s="278"/>
      <c r="D789" s="279"/>
      <c r="E789" s="279"/>
      <c r="F789" s="279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</row>
    <row r="790" ht="15.75" customHeight="1">
      <c r="A790" s="234"/>
      <c r="B790" s="277"/>
      <c r="C790" s="278"/>
      <c r="D790" s="279"/>
      <c r="E790" s="279"/>
      <c r="F790" s="279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</row>
    <row r="791" ht="15.75" customHeight="1">
      <c r="A791" s="234"/>
      <c r="B791" s="277"/>
      <c r="C791" s="278"/>
      <c r="D791" s="279"/>
      <c r="E791" s="279"/>
      <c r="F791" s="279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</row>
    <row r="792" ht="15.75" customHeight="1">
      <c r="A792" s="234"/>
      <c r="B792" s="277"/>
      <c r="C792" s="278"/>
      <c r="D792" s="279"/>
      <c r="E792" s="279"/>
      <c r="F792" s="279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</row>
    <row r="793" ht="15.75" customHeight="1">
      <c r="A793" s="234"/>
      <c r="B793" s="277"/>
      <c r="C793" s="278"/>
      <c r="D793" s="279"/>
      <c r="E793" s="279"/>
      <c r="F793" s="279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</row>
    <row r="794" ht="15.75" customHeight="1">
      <c r="A794" s="234"/>
      <c r="B794" s="277"/>
      <c r="C794" s="278"/>
      <c r="D794" s="279"/>
      <c r="E794" s="279"/>
      <c r="F794" s="279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</row>
    <row r="795" ht="15.75" customHeight="1">
      <c r="A795" s="234"/>
      <c r="B795" s="277"/>
      <c r="C795" s="278"/>
      <c r="D795" s="279"/>
      <c r="E795" s="279"/>
      <c r="F795" s="279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</row>
    <row r="796" ht="15.75" customHeight="1">
      <c r="A796" s="234"/>
      <c r="B796" s="277"/>
      <c r="C796" s="278"/>
      <c r="D796" s="279"/>
      <c r="E796" s="279"/>
      <c r="F796" s="279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</row>
    <row r="797" ht="15.75" customHeight="1">
      <c r="A797" s="234"/>
      <c r="B797" s="277"/>
      <c r="C797" s="278"/>
      <c r="D797" s="279"/>
      <c r="E797" s="279"/>
      <c r="F797" s="279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</row>
    <row r="798" ht="15.75" customHeight="1">
      <c r="A798" s="234"/>
      <c r="B798" s="277"/>
      <c r="C798" s="278"/>
      <c r="D798" s="279"/>
      <c r="E798" s="279"/>
      <c r="F798" s="279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</row>
    <row r="799" ht="15.75" customHeight="1">
      <c r="A799" s="234"/>
      <c r="B799" s="277"/>
      <c r="C799" s="278"/>
      <c r="D799" s="279"/>
      <c r="E799" s="279"/>
      <c r="F799" s="279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</row>
    <row r="800" ht="15.75" customHeight="1">
      <c r="A800" s="234"/>
      <c r="B800" s="277"/>
      <c r="C800" s="278"/>
      <c r="D800" s="279"/>
      <c r="E800" s="279"/>
      <c r="F800" s="279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</row>
    <row r="801" ht="15.75" customHeight="1">
      <c r="A801" s="234"/>
      <c r="B801" s="277"/>
      <c r="C801" s="278"/>
      <c r="D801" s="279"/>
      <c r="E801" s="279"/>
      <c r="F801" s="279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</row>
    <row r="802" ht="15.75" customHeight="1">
      <c r="A802" s="234"/>
      <c r="B802" s="277"/>
      <c r="C802" s="278"/>
      <c r="D802" s="279"/>
      <c r="E802" s="279"/>
      <c r="F802" s="279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</row>
    <row r="803" ht="15.75" customHeight="1">
      <c r="A803" s="234"/>
      <c r="B803" s="277"/>
      <c r="C803" s="278"/>
      <c r="D803" s="279"/>
      <c r="E803" s="279"/>
      <c r="F803" s="279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</row>
    <row r="804" ht="15.75" customHeight="1">
      <c r="A804" s="234"/>
      <c r="B804" s="277"/>
      <c r="C804" s="278"/>
      <c r="D804" s="279"/>
      <c r="E804" s="279"/>
      <c r="F804" s="279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</row>
    <row r="805" ht="15.75" customHeight="1">
      <c r="A805" s="234"/>
      <c r="B805" s="277"/>
      <c r="C805" s="278"/>
      <c r="D805" s="279"/>
      <c r="E805" s="279"/>
      <c r="F805" s="279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</row>
    <row r="806" ht="15.75" customHeight="1">
      <c r="A806" s="234"/>
      <c r="B806" s="277"/>
      <c r="C806" s="278"/>
      <c r="D806" s="279"/>
      <c r="E806" s="279"/>
      <c r="F806" s="279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</row>
    <row r="807" ht="15.75" customHeight="1">
      <c r="A807" s="234"/>
      <c r="B807" s="277"/>
      <c r="C807" s="278"/>
      <c r="D807" s="279"/>
      <c r="E807" s="279"/>
      <c r="F807" s="279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</row>
    <row r="808" ht="15.75" customHeight="1">
      <c r="A808" s="234"/>
      <c r="B808" s="277"/>
      <c r="C808" s="278"/>
      <c r="D808" s="279"/>
      <c r="E808" s="279"/>
      <c r="F808" s="279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</row>
    <row r="809" ht="15.75" customHeight="1">
      <c r="A809" s="234"/>
      <c r="B809" s="277"/>
      <c r="C809" s="278"/>
      <c r="D809" s="279"/>
      <c r="E809" s="279"/>
      <c r="F809" s="279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</row>
    <row r="810" ht="15.75" customHeight="1">
      <c r="A810" s="234"/>
      <c r="B810" s="277"/>
      <c r="C810" s="278"/>
      <c r="D810" s="279"/>
      <c r="E810" s="279"/>
      <c r="F810" s="279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</row>
    <row r="811" ht="15.75" customHeight="1">
      <c r="A811" s="234"/>
      <c r="B811" s="277"/>
      <c r="C811" s="278"/>
      <c r="D811" s="279"/>
      <c r="E811" s="279"/>
      <c r="F811" s="279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</row>
    <row r="812" ht="15.75" customHeight="1">
      <c r="A812" s="234"/>
      <c r="B812" s="277"/>
      <c r="C812" s="278"/>
      <c r="D812" s="279"/>
      <c r="E812" s="279"/>
      <c r="F812" s="279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</row>
    <row r="813" ht="15.75" customHeight="1">
      <c r="A813" s="234"/>
      <c r="B813" s="277"/>
      <c r="C813" s="278"/>
      <c r="D813" s="279"/>
      <c r="E813" s="279"/>
      <c r="F813" s="279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</row>
    <row r="814" ht="15.75" customHeight="1">
      <c r="A814" s="234"/>
      <c r="B814" s="277"/>
      <c r="C814" s="278"/>
      <c r="D814" s="279"/>
      <c r="E814" s="279"/>
      <c r="F814" s="279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</row>
    <row r="815" ht="15.75" customHeight="1">
      <c r="A815" s="234"/>
      <c r="B815" s="277"/>
      <c r="C815" s="278"/>
      <c r="D815" s="279"/>
      <c r="E815" s="279"/>
      <c r="F815" s="279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</row>
    <row r="816" ht="15.75" customHeight="1">
      <c r="A816" s="234"/>
      <c r="B816" s="277"/>
      <c r="C816" s="278"/>
      <c r="D816" s="279"/>
      <c r="E816" s="279"/>
      <c r="F816" s="279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</row>
    <row r="817" ht="15.75" customHeight="1">
      <c r="A817" s="234"/>
      <c r="B817" s="277"/>
      <c r="C817" s="278"/>
      <c r="D817" s="279"/>
      <c r="E817" s="279"/>
      <c r="F817" s="279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</row>
    <row r="818" ht="15.75" customHeight="1">
      <c r="A818" s="234"/>
      <c r="B818" s="277"/>
      <c r="C818" s="278"/>
      <c r="D818" s="279"/>
      <c r="E818" s="279"/>
      <c r="F818" s="279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</row>
    <row r="819" ht="15.75" customHeight="1">
      <c r="A819" s="234"/>
      <c r="B819" s="277"/>
      <c r="C819" s="278"/>
      <c r="D819" s="279"/>
      <c r="E819" s="279"/>
      <c r="F819" s="279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</row>
    <row r="820" ht="15.75" customHeight="1">
      <c r="A820" s="234"/>
      <c r="B820" s="277"/>
      <c r="C820" s="278"/>
      <c r="D820" s="279"/>
      <c r="E820" s="279"/>
      <c r="F820" s="279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</row>
    <row r="821" ht="15.75" customHeight="1">
      <c r="A821" s="234"/>
      <c r="B821" s="277"/>
      <c r="C821" s="278"/>
      <c r="D821" s="279"/>
      <c r="E821" s="279"/>
      <c r="F821" s="279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</row>
    <row r="822" ht="15.75" customHeight="1">
      <c r="A822" s="234"/>
      <c r="B822" s="277"/>
      <c r="C822" s="278"/>
      <c r="D822" s="279"/>
      <c r="E822" s="279"/>
      <c r="F822" s="279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</row>
    <row r="823" ht="15.75" customHeight="1">
      <c r="A823" s="234"/>
      <c r="B823" s="277"/>
      <c r="C823" s="278"/>
      <c r="D823" s="279"/>
      <c r="E823" s="279"/>
      <c r="F823" s="279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</row>
    <row r="824" ht="15.75" customHeight="1">
      <c r="A824" s="234"/>
      <c r="B824" s="277"/>
      <c r="C824" s="278"/>
      <c r="D824" s="279"/>
      <c r="E824" s="279"/>
      <c r="F824" s="279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</row>
    <row r="825" ht="15.75" customHeight="1">
      <c r="A825" s="234"/>
      <c r="B825" s="277"/>
      <c r="C825" s="278"/>
      <c r="D825" s="279"/>
      <c r="E825" s="279"/>
      <c r="F825" s="279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</row>
    <row r="826" ht="15.75" customHeight="1">
      <c r="A826" s="234"/>
      <c r="B826" s="277"/>
      <c r="C826" s="278"/>
      <c r="D826" s="279"/>
      <c r="E826" s="279"/>
      <c r="F826" s="279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</row>
    <row r="827" ht="15.75" customHeight="1">
      <c r="A827" s="234"/>
      <c r="B827" s="277"/>
      <c r="C827" s="278"/>
      <c r="D827" s="279"/>
      <c r="E827" s="279"/>
      <c r="F827" s="279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</row>
    <row r="828" ht="15.75" customHeight="1">
      <c r="A828" s="234"/>
      <c r="B828" s="277"/>
      <c r="C828" s="278"/>
      <c r="D828" s="279"/>
      <c r="E828" s="279"/>
      <c r="F828" s="279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</row>
    <row r="829" ht="15.75" customHeight="1">
      <c r="A829" s="234"/>
      <c r="B829" s="277"/>
      <c r="C829" s="278"/>
      <c r="D829" s="279"/>
      <c r="E829" s="279"/>
      <c r="F829" s="279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</row>
    <row r="830" ht="15.75" customHeight="1">
      <c r="A830" s="234"/>
      <c r="B830" s="277"/>
      <c r="C830" s="278"/>
      <c r="D830" s="279"/>
      <c r="E830" s="279"/>
      <c r="F830" s="279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</row>
    <row r="831" ht="15.75" customHeight="1">
      <c r="A831" s="234"/>
      <c r="B831" s="277"/>
      <c r="C831" s="278"/>
      <c r="D831" s="279"/>
      <c r="E831" s="279"/>
      <c r="F831" s="279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</row>
    <row r="832" ht="15.75" customHeight="1">
      <c r="A832" s="234"/>
      <c r="B832" s="277"/>
      <c r="C832" s="278"/>
      <c r="D832" s="279"/>
      <c r="E832" s="279"/>
      <c r="F832" s="279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</row>
    <row r="833" ht="15.75" customHeight="1">
      <c r="A833" s="234"/>
      <c r="B833" s="277"/>
      <c r="C833" s="278"/>
      <c r="D833" s="279"/>
      <c r="E833" s="279"/>
      <c r="F833" s="279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</row>
    <row r="834" ht="15.75" customHeight="1">
      <c r="A834" s="234"/>
      <c r="B834" s="277"/>
      <c r="C834" s="278"/>
      <c r="D834" s="279"/>
      <c r="E834" s="279"/>
      <c r="F834" s="279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</row>
    <row r="835" ht="15.75" customHeight="1">
      <c r="A835" s="234"/>
      <c r="B835" s="277"/>
      <c r="C835" s="278"/>
      <c r="D835" s="279"/>
      <c r="E835" s="279"/>
      <c r="F835" s="279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</row>
    <row r="836" ht="15.75" customHeight="1">
      <c r="A836" s="234"/>
      <c r="B836" s="277"/>
      <c r="C836" s="278"/>
      <c r="D836" s="279"/>
      <c r="E836" s="279"/>
      <c r="F836" s="279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</row>
    <row r="837" ht="15.75" customHeight="1">
      <c r="A837" s="234"/>
      <c r="B837" s="277"/>
      <c r="C837" s="278"/>
      <c r="D837" s="279"/>
      <c r="E837" s="279"/>
      <c r="F837" s="279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</row>
    <row r="838" ht="15.75" customHeight="1">
      <c r="A838" s="234"/>
      <c r="B838" s="277"/>
      <c r="C838" s="278"/>
      <c r="D838" s="279"/>
      <c r="E838" s="279"/>
      <c r="F838" s="279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</row>
    <row r="839" ht="15.75" customHeight="1">
      <c r="A839" s="234"/>
      <c r="B839" s="277"/>
      <c r="C839" s="278"/>
      <c r="D839" s="279"/>
      <c r="E839" s="279"/>
      <c r="F839" s="279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</row>
    <row r="840" ht="15.75" customHeight="1">
      <c r="A840" s="234"/>
      <c r="B840" s="277"/>
      <c r="C840" s="278"/>
      <c r="D840" s="279"/>
      <c r="E840" s="279"/>
      <c r="F840" s="279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</row>
    <row r="841" ht="15.75" customHeight="1">
      <c r="A841" s="234"/>
      <c r="B841" s="277"/>
      <c r="C841" s="278"/>
      <c r="D841" s="279"/>
      <c r="E841" s="279"/>
      <c r="F841" s="279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</row>
    <row r="842" ht="15.75" customHeight="1">
      <c r="A842" s="234"/>
      <c r="B842" s="277"/>
      <c r="C842" s="278"/>
      <c r="D842" s="279"/>
      <c r="E842" s="279"/>
      <c r="F842" s="279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</row>
    <row r="843" ht="15.75" customHeight="1">
      <c r="A843" s="234"/>
      <c r="B843" s="277"/>
      <c r="C843" s="278"/>
      <c r="D843" s="279"/>
      <c r="E843" s="279"/>
      <c r="F843" s="279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</row>
    <row r="844" ht="15.75" customHeight="1">
      <c r="A844" s="234"/>
      <c r="B844" s="277"/>
      <c r="C844" s="278"/>
      <c r="D844" s="279"/>
      <c r="E844" s="279"/>
      <c r="F844" s="279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</row>
    <row r="845" ht="15.75" customHeight="1">
      <c r="A845" s="234"/>
      <c r="B845" s="277"/>
      <c r="C845" s="278"/>
      <c r="D845" s="279"/>
      <c r="E845" s="279"/>
      <c r="F845" s="279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</row>
    <row r="846" ht="15.75" customHeight="1">
      <c r="A846" s="234"/>
      <c r="B846" s="277"/>
      <c r="C846" s="278"/>
      <c r="D846" s="279"/>
      <c r="E846" s="279"/>
      <c r="F846" s="279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</row>
    <row r="847" ht="15.75" customHeight="1">
      <c r="A847" s="234"/>
      <c r="B847" s="277"/>
      <c r="C847" s="278"/>
      <c r="D847" s="279"/>
      <c r="E847" s="279"/>
      <c r="F847" s="279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</row>
    <row r="848" ht="15.75" customHeight="1">
      <c r="A848" s="234"/>
      <c r="B848" s="277"/>
      <c r="C848" s="278"/>
      <c r="D848" s="279"/>
      <c r="E848" s="279"/>
      <c r="F848" s="279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</row>
    <row r="849" ht="15.75" customHeight="1">
      <c r="A849" s="234"/>
      <c r="B849" s="277"/>
      <c r="C849" s="278"/>
      <c r="D849" s="279"/>
      <c r="E849" s="279"/>
      <c r="F849" s="279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</row>
    <row r="850" ht="15.75" customHeight="1">
      <c r="A850" s="234"/>
      <c r="B850" s="277"/>
      <c r="C850" s="278"/>
      <c r="D850" s="279"/>
      <c r="E850" s="279"/>
      <c r="F850" s="279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</row>
    <row r="851" ht="15.75" customHeight="1">
      <c r="A851" s="234"/>
      <c r="B851" s="277"/>
      <c r="C851" s="278"/>
      <c r="D851" s="279"/>
      <c r="E851" s="279"/>
      <c r="F851" s="279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</row>
    <row r="852" ht="15.75" customHeight="1">
      <c r="A852" s="234"/>
      <c r="B852" s="277"/>
      <c r="C852" s="278"/>
      <c r="D852" s="279"/>
      <c r="E852" s="279"/>
      <c r="F852" s="279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</row>
    <row r="853" ht="15.75" customHeight="1">
      <c r="A853" s="234"/>
      <c r="B853" s="277"/>
      <c r="C853" s="278"/>
      <c r="D853" s="279"/>
      <c r="E853" s="279"/>
      <c r="F853" s="279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</row>
    <row r="854" ht="15.75" customHeight="1">
      <c r="A854" s="234"/>
      <c r="B854" s="277"/>
      <c r="C854" s="278"/>
      <c r="D854" s="279"/>
      <c r="E854" s="279"/>
      <c r="F854" s="279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</row>
    <row r="855" ht="15.75" customHeight="1">
      <c r="A855" s="234"/>
      <c r="B855" s="277"/>
      <c r="C855" s="278"/>
      <c r="D855" s="279"/>
      <c r="E855" s="279"/>
      <c r="F855" s="279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</row>
    <row r="856" ht="15.75" customHeight="1">
      <c r="A856" s="234"/>
      <c r="B856" s="277"/>
      <c r="C856" s="278"/>
      <c r="D856" s="279"/>
      <c r="E856" s="279"/>
      <c r="F856" s="279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</row>
    <row r="857" ht="15.75" customHeight="1">
      <c r="A857" s="234"/>
      <c r="B857" s="277"/>
      <c r="C857" s="278"/>
      <c r="D857" s="279"/>
      <c r="E857" s="279"/>
      <c r="F857" s="279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</row>
    <row r="858" ht="15.75" customHeight="1">
      <c r="A858" s="234"/>
      <c r="B858" s="277"/>
      <c r="C858" s="278"/>
      <c r="D858" s="279"/>
      <c r="E858" s="279"/>
      <c r="F858" s="279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</row>
    <row r="859" ht="15.75" customHeight="1">
      <c r="A859" s="234"/>
      <c r="B859" s="277"/>
      <c r="C859" s="278"/>
      <c r="D859" s="279"/>
      <c r="E859" s="279"/>
      <c r="F859" s="279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</row>
    <row r="860" ht="15.75" customHeight="1">
      <c r="A860" s="234"/>
      <c r="B860" s="277"/>
      <c r="C860" s="278"/>
      <c r="D860" s="279"/>
      <c r="E860" s="279"/>
      <c r="F860" s="279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</row>
    <row r="861" ht="15.75" customHeight="1">
      <c r="A861" s="234"/>
      <c r="B861" s="277"/>
      <c r="C861" s="278"/>
      <c r="D861" s="279"/>
      <c r="E861" s="279"/>
      <c r="F861" s="279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</row>
    <row r="862" ht="15.75" customHeight="1">
      <c r="A862" s="234"/>
      <c r="B862" s="277"/>
      <c r="C862" s="278"/>
      <c r="D862" s="279"/>
      <c r="E862" s="279"/>
      <c r="F862" s="279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</row>
    <row r="863" ht="15.75" customHeight="1">
      <c r="A863" s="234"/>
      <c r="B863" s="277"/>
      <c r="C863" s="278"/>
      <c r="D863" s="279"/>
      <c r="E863" s="279"/>
      <c r="F863" s="279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</row>
    <row r="864" ht="15.75" customHeight="1">
      <c r="A864" s="234"/>
      <c r="B864" s="277"/>
      <c r="C864" s="278"/>
      <c r="D864" s="279"/>
      <c r="E864" s="279"/>
      <c r="F864" s="279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</row>
    <row r="865" ht="15.75" customHeight="1">
      <c r="A865" s="234"/>
      <c r="B865" s="277"/>
      <c r="C865" s="278"/>
      <c r="D865" s="279"/>
      <c r="E865" s="279"/>
      <c r="F865" s="279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</row>
    <row r="866" ht="15.75" customHeight="1">
      <c r="A866" s="234"/>
      <c r="B866" s="277"/>
      <c r="C866" s="278"/>
      <c r="D866" s="279"/>
      <c r="E866" s="279"/>
      <c r="F866" s="279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</row>
    <row r="867" ht="15.75" customHeight="1">
      <c r="A867" s="234"/>
      <c r="B867" s="277"/>
      <c r="C867" s="278"/>
      <c r="D867" s="279"/>
      <c r="E867" s="279"/>
      <c r="F867" s="279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</row>
    <row r="868" ht="15.75" customHeight="1">
      <c r="A868" s="234"/>
      <c r="B868" s="277"/>
      <c r="C868" s="278"/>
      <c r="D868" s="279"/>
      <c r="E868" s="279"/>
      <c r="F868" s="279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</row>
    <row r="869" ht="15.75" customHeight="1">
      <c r="A869" s="234"/>
      <c r="B869" s="277"/>
      <c r="C869" s="278"/>
      <c r="D869" s="279"/>
      <c r="E869" s="279"/>
      <c r="F869" s="279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</row>
    <row r="870" ht="15.75" customHeight="1">
      <c r="A870" s="234"/>
      <c r="B870" s="277"/>
      <c r="C870" s="278"/>
      <c r="D870" s="279"/>
      <c r="E870" s="279"/>
      <c r="F870" s="279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</row>
    <row r="871" ht="15.75" customHeight="1">
      <c r="A871" s="234"/>
      <c r="B871" s="277"/>
      <c r="C871" s="278"/>
      <c r="D871" s="279"/>
      <c r="E871" s="279"/>
      <c r="F871" s="279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</row>
    <row r="872" ht="15.75" customHeight="1">
      <c r="A872" s="234"/>
      <c r="B872" s="277"/>
      <c r="C872" s="278"/>
      <c r="D872" s="279"/>
      <c r="E872" s="279"/>
      <c r="F872" s="279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</row>
    <row r="873" ht="15.75" customHeight="1">
      <c r="A873" s="234"/>
      <c r="B873" s="277"/>
      <c r="C873" s="278"/>
      <c r="D873" s="279"/>
      <c r="E873" s="279"/>
      <c r="F873" s="279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</row>
    <row r="874" ht="15.75" customHeight="1">
      <c r="A874" s="234"/>
      <c r="B874" s="277"/>
      <c r="C874" s="278"/>
      <c r="D874" s="279"/>
      <c r="E874" s="279"/>
      <c r="F874" s="279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</row>
    <row r="875" ht="15.75" customHeight="1">
      <c r="A875" s="234"/>
      <c r="B875" s="277"/>
      <c r="C875" s="278"/>
      <c r="D875" s="279"/>
      <c r="E875" s="279"/>
      <c r="F875" s="279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</row>
    <row r="876" ht="15.75" customHeight="1">
      <c r="A876" s="234"/>
      <c r="B876" s="277"/>
      <c r="C876" s="278"/>
      <c r="D876" s="279"/>
      <c r="E876" s="279"/>
      <c r="F876" s="279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</row>
    <row r="877" ht="15.75" customHeight="1">
      <c r="A877" s="234"/>
      <c r="B877" s="277"/>
      <c r="C877" s="278"/>
      <c r="D877" s="279"/>
      <c r="E877" s="279"/>
      <c r="F877" s="279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</row>
    <row r="878" ht="15.75" customHeight="1">
      <c r="A878" s="234"/>
      <c r="B878" s="277"/>
      <c r="C878" s="278"/>
      <c r="D878" s="279"/>
      <c r="E878" s="279"/>
      <c r="F878" s="279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</row>
    <row r="879" ht="15.75" customHeight="1">
      <c r="A879" s="234"/>
      <c r="B879" s="277"/>
      <c r="C879" s="278"/>
      <c r="D879" s="279"/>
      <c r="E879" s="279"/>
      <c r="F879" s="279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</row>
    <row r="880" ht="15.75" customHeight="1">
      <c r="A880" s="234"/>
      <c r="B880" s="277"/>
      <c r="C880" s="278"/>
      <c r="D880" s="279"/>
      <c r="E880" s="279"/>
      <c r="F880" s="279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</row>
    <row r="881" ht="15.75" customHeight="1">
      <c r="A881" s="234"/>
      <c r="B881" s="277"/>
      <c r="C881" s="278"/>
      <c r="D881" s="279"/>
      <c r="E881" s="279"/>
      <c r="F881" s="279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</row>
    <row r="882" ht="15.75" customHeight="1">
      <c r="A882" s="234"/>
      <c r="B882" s="277"/>
      <c r="C882" s="278"/>
      <c r="D882" s="279"/>
      <c r="E882" s="279"/>
      <c r="F882" s="279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</row>
    <row r="883" ht="15.75" customHeight="1">
      <c r="A883" s="234"/>
      <c r="B883" s="277"/>
      <c r="C883" s="278"/>
      <c r="D883" s="279"/>
      <c r="E883" s="279"/>
      <c r="F883" s="279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</row>
    <row r="884" ht="15.75" customHeight="1">
      <c r="A884" s="234"/>
      <c r="B884" s="277"/>
      <c r="C884" s="278"/>
      <c r="D884" s="279"/>
      <c r="E884" s="279"/>
      <c r="F884" s="279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</row>
    <row r="885" ht="15.75" customHeight="1">
      <c r="A885" s="234"/>
      <c r="B885" s="277"/>
      <c r="C885" s="278"/>
      <c r="D885" s="279"/>
      <c r="E885" s="279"/>
      <c r="F885" s="279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</row>
    <row r="886" ht="15.75" customHeight="1">
      <c r="A886" s="234"/>
      <c r="B886" s="277"/>
      <c r="C886" s="278"/>
      <c r="D886" s="279"/>
      <c r="E886" s="279"/>
      <c r="F886" s="279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</row>
    <row r="887" ht="15.75" customHeight="1">
      <c r="A887" s="234"/>
      <c r="B887" s="277"/>
      <c r="C887" s="278"/>
      <c r="D887" s="279"/>
      <c r="E887" s="279"/>
      <c r="F887" s="279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</row>
    <row r="888" ht="15.75" customHeight="1">
      <c r="A888" s="234"/>
      <c r="B888" s="277"/>
      <c r="C888" s="278"/>
      <c r="D888" s="279"/>
      <c r="E888" s="279"/>
      <c r="F888" s="279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</row>
    <row r="889" ht="15.75" customHeight="1">
      <c r="A889" s="234"/>
      <c r="B889" s="277"/>
      <c r="C889" s="278"/>
      <c r="D889" s="279"/>
      <c r="E889" s="279"/>
      <c r="F889" s="279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</row>
    <row r="890" ht="15.75" customHeight="1">
      <c r="A890" s="234"/>
      <c r="B890" s="277"/>
      <c r="C890" s="278"/>
      <c r="D890" s="279"/>
      <c r="E890" s="279"/>
      <c r="F890" s="279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</row>
    <row r="891" ht="15.75" customHeight="1">
      <c r="A891" s="234"/>
      <c r="B891" s="277"/>
      <c r="C891" s="278"/>
      <c r="D891" s="279"/>
      <c r="E891" s="279"/>
      <c r="F891" s="279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</row>
    <row r="892" ht="15.75" customHeight="1">
      <c r="A892" s="234"/>
      <c r="B892" s="277"/>
      <c r="C892" s="278"/>
      <c r="D892" s="279"/>
      <c r="E892" s="279"/>
      <c r="F892" s="279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</row>
    <row r="893" ht="15.75" customHeight="1">
      <c r="A893" s="234"/>
      <c r="B893" s="277"/>
      <c r="C893" s="278"/>
      <c r="D893" s="279"/>
      <c r="E893" s="279"/>
      <c r="F893" s="279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</row>
    <row r="894" ht="15.75" customHeight="1">
      <c r="A894" s="234"/>
      <c r="B894" s="277"/>
      <c r="C894" s="278"/>
      <c r="D894" s="279"/>
      <c r="E894" s="279"/>
      <c r="F894" s="279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</row>
    <row r="895" ht="15.75" customHeight="1">
      <c r="A895" s="234"/>
      <c r="B895" s="277"/>
      <c r="C895" s="278"/>
      <c r="D895" s="279"/>
      <c r="E895" s="279"/>
      <c r="F895" s="279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</row>
    <row r="896" ht="15.75" customHeight="1">
      <c r="A896" s="234"/>
      <c r="B896" s="277"/>
      <c r="C896" s="278"/>
      <c r="D896" s="279"/>
      <c r="E896" s="279"/>
      <c r="F896" s="279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</row>
    <row r="897" ht="15.75" customHeight="1">
      <c r="A897" s="234"/>
      <c r="B897" s="277"/>
      <c r="C897" s="278"/>
      <c r="D897" s="279"/>
      <c r="E897" s="279"/>
      <c r="F897" s="279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</row>
    <row r="898" ht="15.75" customHeight="1">
      <c r="A898" s="234"/>
      <c r="B898" s="277"/>
      <c r="C898" s="278"/>
      <c r="D898" s="279"/>
      <c r="E898" s="279"/>
      <c r="F898" s="279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</row>
    <row r="899" ht="15.75" customHeight="1">
      <c r="A899" s="234"/>
      <c r="B899" s="277"/>
      <c r="C899" s="278"/>
      <c r="D899" s="279"/>
      <c r="E899" s="279"/>
      <c r="F899" s="279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</row>
    <row r="900" ht="15.75" customHeight="1">
      <c r="A900" s="234"/>
      <c r="B900" s="277"/>
      <c r="C900" s="278"/>
      <c r="D900" s="279"/>
      <c r="E900" s="279"/>
      <c r="F900" s="279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</row>
    <row r="901" ht="15.75" customHeight="1">
      <c r="A901" s="234"/>
      <c r="B901" s="277"/>
      <c r="C901" s="278"/>
      <c r="D901" s="279"/>
      <c r="E901" s="279"/>
      <c r="F901" s="279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</row>
    <row r="902" ht="15.75" customHeight="1">
      <c r="A902" s="234"/>
      <c r="B902" s="277"/>
      <c r="C902" s="278"/>
      <c r="D902" s="279"/>
      <c r="E902" s="279"/>
      <c r="F902" s="279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</row>
    <row r="903" ht="15.75" customHeight="1">
      <c r="A903" s="234"/>
      <c r="B903" s="277"/>
      <c r="C903" s="278"/>
      <c r="D903" s="279"/>
      <c r="E903" s="279"/>
      <c r="F903" s="279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</row>
    <row r="904" ht="15.75" customHeight="1">
      <c r="A904" s="234"/>
      <c r="B904" s="277"/>
      <c r="C904" s="278"/>
      <c r="D904" s="279"/>
      <c r="E904" s="279"/>
      <c r="F904" s="279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</row>
    <row r="905" ht="15.75" customHeight="1">
      <c r="A905" s="234"/>
      <c r="B905" s="277"/>
      <c r="C905" s="278"/>
      <c r="D905" s="279"/>
      <c r="E905" s="279"/>
      <c r="F905" s="279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</row>
    <row r="906" ht="15.75" customHeight="1">
      <c r="A906" s="234"/>
      <c r="B906" s="277"/>
      <c r="C906" s="278"/>
      <c r="D906" s="279"/>
      <c r="E906" s="279"/>
      <c r="F906" s="279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</row>
    <row r="907" ht="15.75" customHeight="1">
      <c r="A907" s="234"/>
      <c r="B907" s="277"/>
      <c r="C907" s="278"/>
      <c r="D907" s="279"/>
      <c r="E907" s="279"/>
      <c r="F907" s="279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</row>
    <row r="908" ht="15.75" customHeight="1">
      <c r="A908" s="234"/>
      <c r="B908" s="277"/>
      <c r="C908" s="278"/>
      <c r="D908" s="279"/>
      <c r="E908" s="279"/>
      <c r="F908" s="279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</row>
    <row r="909" ht="15.75" customHeight="1">
      <c r="A909" s="234"/>
      <c r="B909" s="277"/>
      <c r="C909" s="278"/>
      <c r="D909" s="279"/>
      <c r="E909" s="279"/>
      <c r="F909" s="279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</row>
    <row r="910" ht="15.75" customHeight="1">
      <c r="A910" s="234"/>
      <c r="B910" s="277"/>
      <c r="C910" s="278"/>
      <c r="D910" s="279"/>
      <c r="E910" s="279"/>
      <c r="F910" s="279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</row>
    <row r="911" ht="15.75" customHeight="1">
      <c r="A911" s="234"/>
      <c r="B911" s="277"/>
      <c r="C911" s="278"/>
      <c r="D911" s="279"/>
      <c r="E911" s="279"/>
      <c r="F911" s="279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</row>
    <row r="912" ht="15.75" customHeight="1">
      <c r="A912" s="234"/>
      <c r="B912" s="277"/>
      <c r="C912" s="278"/>
      <c r="D912" s="279"/>
      <c r="E912" s="279"/>
      <c r="F912" s="279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</row>
    <row r="913" ht="15.75" customHeight="1">
      <c r="A913" s="234"/>
      <c r="B913" s="277"/>
      <c r="C913" s="278"/>
      <c r="D913" s="279"/>
      <c r="E913" s="279"/>
      <c r="F913" s="279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</row>
    <row r="914" ht="15.75" customHeight="1">
      <c r="A914" s="234"/>
      <c r="B914" s="277"/>
      <c r="C914" s="278"/>
      <c r="D914" s="279"/>
      <c r="E914" s="279"/>
      <c r="F914" s="279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</row>
    <row r="915" ht="15.75" customHeight="1">
      <c r="A915" s="234"/>
      <c r="B915" s="277"/>
      <c r="C915" s="278"/>
      <c r="D915" s="279"/>
      <c r="E915" s="279"/>
      <c r="F915" s="279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</row>
    <row r="916" ht="15.75" customHeight="1">
      <c r="A916" s="234"/>
      <c r="B916" s="277"/>
      <c r="C916" s="278"/>
      <c r="D916" s="279"/>
      <c r="E916" s="279"/>
      <c r="F916" s="279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</row>
    <row r="917" ht="15.75" customHeight="1">
      <c r="A917" s="234"/>
      <c r="B917" s="277"/>
      <c r="C917" s="278"/>
      <c r="D917" s="279"/>
      <c r="E917" s="279"/>
      <c r="F917" s="279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</row>
    <row r="918" ht="15.75" customHeight="1">
      <c r="A918" s="234"/>
      <c r="B918" s="277"/>
      <c r="C918" s="278"/>
      <c r="D918" s="279"/>
      <c r="E918" s="279"/>
      <c r="F918" s="279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</row>
    <row r="919" ht="15.75" customHeight="1">
      <c r="A919" s="234"/>
      <c r="B919" s="277"/>
      <c r="C919" s="278"/>
      <c r="D919" s="279"/>
      <c r="E919" s="279"/>
      <c r="F919" s="279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</row>
    <row r="920" ht="15.75" customHeight="1">
      <c r="A920" s="234"/>
      <c r="B920" s="277"/>
      <c r="C920" s="278"/>
      <c r="D920" s="279"/>
      <c r="E920" s="279"/>
      <c r="F920" s="279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</row>
    <row r="921" ht="15.75" customHeight="1">
      <c r="A921" s="234"/>
      <c r="B921" s="277"/>
      <c r="C921" s="278"/>
      <c r="D921" s="279"/>
      <c r="E921" s="279"/>
      <c r="F921" s="279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</row>
    <row r="922" ht="15.75" customHeight="1">
      <c r="A922" s="234"/>
      <c r="B922" s="277"/>
      <c r="C922" s="278"/>
      <c r="D922" s="279"/>
      <c r="E922" s="279"/>
      <c r="F922" s="279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</row>
    <row r="923" ht="15.75" customHeight="1">
      <c r="A923" s="234"/>
      <c r="B923" s="277"/>
      <c r="C923" s="278"/>
      <c r="D923" s="279"/>
      <c r="E923" s="279"/>
      <c r="F923" s="279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</row>
    <row r="924" ht="15.75" customHeight="1">
      <c r="A924" s="234"/>
      <c r="B924" s="277"/>
      <c r="C924" s="278"/>
      <c r="D924" s="279"/>
      <c r="E924" s="279"/>
      <c r="F924" s="279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</row>
    <row r="925" ht="15.75" customHeight="1">
      <c r="A925" s="234"/>
      <c r="B925" s="277"/>
      <c r="C925" s="278"/>
      <c r="D925" s="279"/>
      <c r="E925" s="279"/>
      <c r="F925" s="279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</row>
    <row r="926" ht="15.75" customHeight="1">
      <c r="A926" s="234"/>
      <c r="B926" s="277"/>
      <c r="C926" s="278"/>
      <c r="D926" s="279"/>
      <c r="E926" s="279"/>
      <c r="F926" s="279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</row>
    <row r="927" ht="15.75" customHeight="1">
      <c r="A927" s="234"/>
      <c r="B927" s="277"/>
      <c r="C927" s="278"/>
      <c r="D927" s="279"/>
      <c r="E927" s="279"/>
      <c r="F927" s="279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</row>
    <row r="928" ht="15.75" customHeight="1">
      <c r="A928" s="234"/>
      <c r="B928" s="277"/>
      <c r="C928" s="278"/>
      <c r="D928" s="279"/>
      <c r="E928" s="279"/>
      <c r="F928" s="279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</row>
    <row r="929" ht="15.75" customHeight="1">
      <c r="A929" s="234"/>
      <c r="B929" s="277"/>
      <c r="C929" s="278"/>
      <c r="D929" s="279"/>
      <c r="E929" s="279"/>
      <c r="F929" s="279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</row>
    <row r="930" ht="15.75" customHeight="1">
      <c r="A930" s="234"/>
      <c r="B930" s="277"/>
      <c r="C930" s="278"/>
      <c r="D930" s="279"/>
      <c r="E930" s="279"/>
      <c r="F930" s="279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</row>
    <row r="931" ht="15.75" customHeight="1">
      <c r="A931" s="234"/>
      <c r="B931" s="277"/>
      <c r="C931" s="278"/>
      <c r="D931" s="279"/>
      <c r="E931" s="279"/>
      <c r="F931" s="279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</row>
    <row r="932" ht="15.75" customHeight="1">
      <c r="A932" s="234"/>
      <c r="B932" s="277"/>
      <c r="C932" s="278"/>
      <c r="D932" s="279"/>
      <c r="E932" s="279"/>
      <c r="F932" s="279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</row>
    <row r="933" ht="15.75" customHeight="1">
      <c r="A933" s="234"/>
      <c r="B933" s="277"/>
      <c r="C933" s="278"/>
      <c r="D933" s="279"/>
      <c r="E933" s="279"/>
      <c r="F933" s="279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</row>
    <row r="934" ht="15.75" customHeight="1">
      <c r="A934" s="234"/>
      <c r="B934" s="277"/>
      <c r="C934" s="278"/>
      <c r="D934" s="279"/>
      <c r="E934" s="279"/>
      <c r="F934" s="279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</row>
    <row r="935" ht="15.75" customHeight="1">
      <c r="A935" s="234"/>
      <c r="B935" s="277"/>
      <c r="C935" s="278"/>
      <c r="D935" s="279"/>
      <c r="E935" s="279"/>
      <c r="F935" s="279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</row>
    <row r="936" ht="15.75" customHeight="1">
      <c r="A936" s="234"/>
      <c r="B936" s="277"/>
      <c r="C936" s="278"/>
      <c r="D936" s="279"/>
      <c r="E936" s="279"/>
      <c r="F936" s="279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</row>
    <row r="937" ht="15.75" customHeight="1">
      <c r="A937" s="234"/>
      <c r="B937" s="277"/>
      <c r="C937" s="278"/>
      <c r="D937" s="279"/>
      <c r="E937" s="279"/>
      <c r="F937" s="279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</row>
    <row r="938" ht="15.75" customHeight="1">
      <c r="A938" s="234"/>
      <c r="B938" s="277"/>
      <c r="C938" s="278"/>
      <c r="D938" s="279"/>
      <c r="E938" s="279"/>
      <c r="F938" s="279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</row>
    <row r="939" ht="15.75" customHeight="1">
      <c r="A939" s="234"/>
      <c r="B939" s="277"/>
      <c r="C939" s="278"/>
      <c r="D939" s="279"/>
      <c r="E939" s="279"/>
      <c r="F939" s="279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</row>
    <row r="940" ht="15.75" customHeight="1">
      <c r="A940" s="234"/>
      <c r="B940" s="277"/>
      <c r="C940" s="278"/>
      <c r="D940" s="279"/>
      <c r="E940" s="279"/>
      <c r="F940" s="279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</row>
    <row r="941" ht="15.75" customHeight="1">
      <c r="A941" s="234"/>
      <c r="B941" s="277"/>
      <c r="C941" s="278"/>
      <c r="D941" s="279"/>
      <c r="E941" s="279"/>
      <c r="F941" s="279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</row>
    <row r="942" ht="15.75" customHeight="1">
      <c r="A942" s="234"/>
      <c r="B942" s="277"/>
      <c r="C942" s="278"/>
      <c r="D942" s="279"/>
      <c r="E942" s="279"/>
      <c r="F942" s="279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</row>
    <row r="943" ht="15.75" customHeight="1">
      <c r="A943" s="234"/>
      <c r="B943" s="277"/>
      <c r="C943" s="278"/>
      <c r="D943" s="279"/>
      <c r="E943" s="279"/>
      <c r="F943" s="279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</row>
    <row r="944" ht="15.75" customHeight="1">
      <c r="A944" s="234"/>
      <c r="B944" s="277"/>
      <c r="C944" s="278"/>
      <c r="D944" s="279"/>
      <c r="E944" s="279"/>
      <c r="F944" s="279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</row>
    <row r="945" ht="15.75" customHeight="1">
      <c r="A945" s="234"/>
      <c r="B945" s="277"/>
      <c r="C945" s="278"/>
      <c r="D945" s="279"/>
      <c r="E945" s="279"/>
      <c r="F945" s="279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</row>
    <row r="946" ht="15.75" customHeight="1">
      <c r="A946" s="234"/>
      <c r="B946" s="277"/>
      <c r="C946" s="278"/>
      <c r="D946" s="279"/>
      <c r="E946" s="279"/>
      <c r="F946" s="279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</row>
    <row r="947" ht="15.75" customHeight="1">
      <c r="A947" s="234"/>
      <c r="B947" s="277"/>
      <c r="C947" s="278"/>
      <c r="D947" s="279"/>
      <c r="E947" s="279"/>
      <c r="F947" s="279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</row>
    <row r="948" ht="15.75" customHeight="1">
      <c r="A948" s="234"/>
      <c r="B948" s="277"/>
      <c r="C948" s="278"/>
      <c r="D948" s="279"/>
      <c r="E948" s="279"/>
      <c r="F948" s="279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</row>
    <row r="949" ht="15.75" customHeight="1">
      <c r="A949" s="234"/>
      <c r="B949" s="277"/>
      <c r="C949" s="278"/>
      <c r="D949" s="279"/>
      <c r="E949" s="279"/>
      <c r="F949" s="279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</row>
    <row r="950" ht="15.75" customHeight="1">
      <c r="A950" s="234"/>
      <c r="B950" s="277"/>
      <c r="C950" s="278"/>
      <c r="D950" s="279"/>
      <c r="E950" s="279"/>
      <c r="F950" s="279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</row>
    <row r="951" ht="15.75" customHeight="1">
      <c r="A951" s="234"/>
      <c r="B951" s="277"/>
      <c r="C951" s="278"/>
      <c r="D951" s="279"/>
      <c r="E951" s="279"/>
      <c r="F951" s="279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</row>
    <row r="952" ht="15.75" customHeight="1">
      <c r="A952" s="234"/>
      <c r="B952" s="277"/>
      <c r="C952" s="278"/>
      <c r="D952" s="279"/>
      <c r="E952" s="279"/>
      <c r="F952" s="279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</row>
    <row r="953" ht="15.75" customHeight="1">
      <c r="A953" s="234"/>
      <c r="B953" s="277"/>
      <c r="C953" s="278"/>
      <c r="D953" s="279"/>
      <c r="E953" s="279"/>
      <c r="F953" s="279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</row>
    <row r="954" ht="15.75" customHeight="1">
      <c r="A954" s="234"/>
      <c r="B954" s="277"/>
      <c r="C954" s="278"/>
      <c r="D954" s="279"/>
      <c r="E954" s="279"/>
      <c r="F954" s="279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</row>
    <row r="955" ht="15.75" customHeight="1">
      <c r="A955" s="234"/>
      <c r="B955" s="277"/>
      <c r="C955" s="278"/>
      <c r="D955" s="279"/>
      <c r="E955" s="279"/>
      <c r="F955" s="279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</row>
    <row r="956" ht="15.75" customHeight="1">
      <c r="A956" s="234"/>
      <c r="B956" s="277"/>
      <c r="C956" s="278"/>
      <c r="D956" s="279"/>
      <c r="E956" s="279"/>
      <c r="F956" s="279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</row>
    <row r="957" ht="15.75" customHeight="1">
      <c r="A957" s="234"/>
      <c r="B957" s="277"/>
      <c r="C957" s="278"/>
      <c r="D957" s="279"/>
      <c r="E957" s="279"/>
      <c r="F957" s="279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</row>
    <row r="958" ht="15.75" customHeight="1">
      <c r="A958" s="234"/>
      <c r="B958" s="277"/>
      <c r="C958" s="278"/>
      <c r="D958" s="279"/>
      <c r="E958" s="279"/>
      <c r="F958" s="279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</row>
    <row r="959" ht="15.75" customHeight="1">
      <c r="A959" s="234"/>
      <c r="B959" s="277"/>
      <c r="C959" s="278"/>
      <c r="D959" s="279"/>
      <c r="E959" s="279"/>
      <c r="F959" s="279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</row>
    <row r="960" ht="15.75" customHeight="1">
      <c r="A960" s="234"/>
      <c r="B960" s="277"/>
      <c r="C960" s="278"/>
      <c r="D960" s="279"/>
      <c r="E960" s="279"/>
      <c r="F960" s="279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</row>
    <row r="961" ht="15.75" customHeight="1">
      <c r="A961" s="234"/>
      <c r="B961" s="277"/>
      <c r="C961" s="278"/>
      <c r="D961" s="279"/>
      <c r="E961" s="279"/>
      <c r="F961" s="279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</row>
    <row r="962" ht="15.75" customHeight="1">
      <c r="A962" s="234"/>
      <c r="B962" s="277"/>
      <c r="C962" s="278"/>
      <c r="D962" s="279"/>
      <c r="E962" s="279"/>
      <c r="F962" s="279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</row>
    <row r="963" ht="15.75" customHeight="1">
      <c r="A963" s="234"/>
      <c r="B963" s="277"/>
      <c r="C963" s="278"/>
      <c r="D963" s="279"/>
      <c r="E963" s="279"/>
      <c r="F963" s="279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</row>
    <row r="964" ht="15.75" customHeight="1">
      <c r="A964" s="234"/>
      <c r="B964" s="277"/>
      <c r="C964" s="278"/>
      <c r="D964" s="279"/>
      <c r="E964" s="279"/>
      <c r="F964" s="279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</row>
    <row r="965" ht="15.75" customHeight="1">
      <c r="A965" s="234"/>
      <c r="B965" s="277"/>
      <c r="C965" s="278"/>
      <c r="D965" s="279"/>
      <c r="E965" s="279"/>
      <c r="F965" s="279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</row>
    <row r="966" ht="15.75" customHeight="1">
      <c r="A966" s="234"/>
      <c r="B966" s="277"/>
      <c r="C966" s="278"/>
      <c r="D966" s="279"/>
      <c r="E966" s="279"/>
      <c r="F966" s="279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</row>
    <row r="967" ht="15.75" customHeight="1">
      <c r="A967" s="234"/>
      <c r="B967" s="277"/>
      <c r="C967" s="278"/>
      <c r="D967" s="279"/>
      <c r="E967" s="279"/>
      <c r="F967" s="279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</row>
    <row r="968" ht="15.75" customHeight="1">
      <c r="A968" s="234"/>
      <c r="B968" s="277"/>
      <c r="C968" s="278"/>
      <c r="D968" s="279"/>
      <c r="E968" s="279"/>
      <c r="F968" s="279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</row>
    <row r="969" ht="15.75" customHeight="1">
      <c r="A969" s="234"/>
      <c r="B969" s="277"/>
      <c r="C969" s="278"/>
      <c r="D969" s="279"/>
      <c r="E969" s="279"/>
      <c r="F969" s="279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</row>
    <row r="970" ht="15.75" customHeight="1">
      <c r="A970" s="234"/>
      <c r="B970" s="277"/>
      <c r="C970" s="278"/>
      <c r="D970" s="279"/>
      <c r="E970" s="279"/>
      <c r="F970" s="279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</row>
    <row r="971" ht="15.75" customHeight="1">
      <c r="A971" s="234"/>
      <c r="B971" s="277"/>
      <c r="C971" s="278"/>
      <c r="D971" s="279"/>
      <c r="E971" s="279"/>
      <c r="F971" s="279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</row>
    <row r="972" ht="15.75" customHeight="1">
      <c r="A972" s="234"/>
      <c r="B972" s="277"/>
      <c r="C972" s="278"/>
      <c r="D972" s="279"/>
      <c r="E972" s="279"/>
      <c r="F972" s="279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</row>
    <row r="973" ht="15.75" customHeight="1">
      <c r="A973" s="234"/>
      <c r="B973" s="277"/>
      <c r="C973" s="278"/>
      <c r="D973" s="279"/>
      <c r="E973" s="279"/>
      <c r="F973" s="279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</row>
    <row r="974" ht="15.75" customHeight="1">
      <c r="A974" s="234"/>
      <c r="B974" s="277"/>
      <c r="C974" s="278"/>
      <c r="D974" s="279"/>
      <c r="E974" s="279"/>
      <c r="F974" s="279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</row>
    <row r="975" ht="15.75" customHeight="1">
      <c r="A975" s="234"/>
      <c r="B975" s="277"/>
      <c r="C975" s="278"/>
      <c r="D975" s="279"/>
      <c r="E975" s="279"/>
      <c r="F975" s="279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</row>
    <row r="976" ht="15.75" customHeight="1">
      <c r="A976" s="234"/>
      <c r="B976" s="277"/>
      <c r="C976" s="278"/>
      <c r="D976" s="279"/>
      <c r="E976" s="279"/>
      <c r="F976" s="279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</row>
    <row r="977" ht="15.75" customHeight="1">
      <c r="A977" s="234"/>
      <c r="B977" s="277"/>
      <c r="C977" s="278"/>
      <c r="D977" s="279"/>
      <c r="E977" s="279"/>
      <c r="F977" s="279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</row>
    <row r="978" ht="15.75" customHeight="1">
      <c r="A978" s="234"/>
      <c r="B978" s="277"/>
      <c r="C978" s="278"/>
      <c r="D978" s="279"/>
      <c r="E978" s="279"/>
      <c r="F978" s="279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</row>
    <row r="979" ht="15.75" customHeight="1">
      <c r="A979" s="234"/>
      <c r="B979" s="277"/>
      <c r="C979" s="278"/>
      <c r="D979" s="279"/>
      <c r="E979" s="279"/>
      <c r="F979" s="279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</row>
    <row r="980" ht="15.75" customHeight="1">
      <c r="A980" s="234"/>
      <c r="B980" s="277"/>
      <c r="C980" s="278"/>
      <c r="D980" s="279"/>
      <c r="E980" s="279"/>
      <c r="F980" s="279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</row>
    <row r="981" ht="15.75" customHeight="1">
      <c r="A981" s="234"/>
      <c r="B981" s="277"/>
      <c r="C981" s="278"/>
      <c r="D981" s="279"/>
      <c r="E981" s="279"/>
      <c r="F981" s="279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</row>
    <row r="982" ht="15.75" customHeight="1">
      <c r="A982" s="234"/>
      <c r="B982" s="277"/>
      <c r="C982" s="278"/>
      <c r="D982" s="279"/>
      <c r="E982" s="279"/>
      <c r="F982" s="279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</row>
    <row r="983" ht="15.75" customHeight="1">
      <c r="A983" s="234"/>
      <c r="B983" s="277"/>
      <c r="C983" s="278"/>
      <c r="D983" s="279"/>
      <c r="E983" s="279"/>
      <c r="F983" s="279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</row>
    <row r="984" ht="15.75" customHeight="1">
      <c r="A984" s="234"/>
      <c r="B984" s="277"/>
      <c r="C984" s="278"/>
      <c r="D984" s="279"/>
      <c r="E984" s="279"/>
      <c r="F984" s="279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</row>
    <row r="985" ht="15.75" customHeight="1">
      <c r="A985" s="234"/>
      <c r="B985" s="277"/>
      <c r="C985" s="278"/>
      <c r="D985" s="279"/>
      <c r="E985" s="279"/>
      <c r="F985" s="279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</row>
    <row r="986" ht="15.75" customHeight="1">
      <c r="A986" s="234"/>
      <c r="B986" s="277"/>
      <c r="C986" s="278"/>
      <c r="D986" s="279"/>
      <c r="E986" s="279"/>
      <c r="F986" s="279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</row>
    <row r="987" ht="15.75" customHeight="1">
      <c r="A987" s="234"/>
      <c r="B987" s="277"/>
      <c r="C987" s="278"/>
      <c r="D987" s="279"/>
      <c r="E987" s="279"/>
      <c r="F987" s="279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</row>
    <row r="988" ht="15.75" customHeight="1">
      <c r="A988" s="234"/>
      <c r="B988" s="277"/>
      <c r="C988" s="278"/>
      <c r="D988" s="279"/>
      <c r="E988" s="279"/>
      <c r="F988" s="279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</row>
    <row r="989" ht="15.75" customHeight="1">
      <c r="A989" s="234"/>
      <c r="B989" s="277"/>
      <c r="C989" s="278"/>
      <c r="D989" s="279"/>
      <c r="E989" s="279"/>
      <c r="F989" s="279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</row>
    <row r="990" ht="15.75" customHeight="1">
      <c r="A990" s="234"/>
      <c r="B990" s="277"/>
      <c r="C990" s="278"/>
      <c r="D990" s="279"/>
      <c r="E990" s="279"/>
      <c r="F990" s="279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</row>
    <row r="991" ht="15.75" customHeight="1">
      <c r="A991" s="234"/>
      <c r="B991" s="277"/>
      <c r="C991" s="278"/>
      <c r="D991" s="279"/>
      <c r="E991" s="279"/>
      <c r="F991" s="279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</row>
    <row r="992" ht="15.75" customHeight="1">
      <c r="A992" s="234"/>
      <c r="B992" s="277"/>
      <c r="C992" s="278"/>
      <c r="D992" s="279"/>
      <c r="E992" s="279"/>
      <c r="F992" s="279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</row>
    <row r="993" ht="15.75" customHeight="1">
      <c r="A993" s="234"/>
      <c r="B993" s="277"/>
      <c r="C993" s="278"/>
      <c r="D993" s="279"/>
      <c r="E993" s="279"/>
      <c r="F993" s="279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</row>
    <row r="994" ht="15.75" customHeight="1">
      <c r="A994" s="234"/>
      <c r="B994" s="277"/>
      <c r="C994" s="278"/>
      <c r="D994" s="279"/>
      <c r="E994" s="279"/>
      <c r="F994" s="279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</row>
    <row r="995" ht="15.75" customHeight="1">
      <c r="A995" s="234"/>
      <c r="B995" s="277"/>
      <c r="C995" s="278"/>
      <c r="D995" s="279"/>
      <c r="E995" s="279"/>
      <c r="F995" s="279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</row>
    <row r="996" ht="15.75" customHeight="1">
      <c r="A996" s="234"/>
      <c r="B996" s="277"/>
      <c r="C996" s="278"/>
      <c r="D996" s="279"/>
      <c r="E996" s="279"/>
      <c r="F996" s="279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</row>
    <row r="997" ht="15.75" customHeight="1">
      <c r="A997" s="234"/>
      <c r="B997" s="277"/>
      <c r="C997" s="278"/>
      <c r="D997" s="279"/>
      <c r="E997" s="279"/>
      <c r="F997" s="279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</row>
    <row r="998" ht="15.75" customHeight="1">
      <c r="A998" s="234"/>
      <c r="B998" s="277"/>
      <c r="C998" s="278"/>
      <c r="D998" s="279"/>
      <c r="E998" s="279"/>
      <c r="F998" s="279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</row>
    <row r="999" ht="15.75" customHeight="1">
      <c r="A999" s="234"/>
      <c r="B999" s="277"/>
      <c r="C999" s="278"/>
      <c r="D999" s="279"/>
      <c r="E999" s="279"/>
      <c r="F999" s="279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</row>
    <row r="1000" ht="15.75" customHeight="1">
      <c r="A1000" s="234"/>
      <c r="B1000" s="277"/>
      <c r="C1000" s="278"/>
      <c r="D1000" s="279"/>
      <c r="E1000" s="279"/>
      <c r="F1000" s="279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</row>
  </sheetData>
  <mergeCells count="11">
    <mergeCell ref="A21:F21"/>
    <mergeCell ref="A23:F23"/>
    <mergeCell ref="A25:F25"/>
    <mergeCell ref="A26:F26"/>
    <mergeCell ref="B1:F1"/>
    <mergeCell ref="A6:F6"/>
    <mergeCell ref="A7:F7"/>
    <mergeCell ref="A9:F9"/>
    <mergeCell ref="A15:F15"/>
    <mergeCell ref="A16:F16"/>
    <mergeCell ref="A17:F17"/>
  </mergeCells>
  <printOptions horizontalCentered="1"/>
  <pageMargins bottom="0.5905511811023623" footer="0.0" header="0.0" left="0.3937007874015748" right="0.3937007874015748" top="0.5905511811023623"/>
  <pageSetup paperSize="9" orientation="portrait"/>
  <headerFooter>
    <oddHeader>&amp;R&amp;F Page &amp;P of </oddHeader>
  </headerFooter>
  <drawing r:id="rId1"/>
</worksheet>
</file>